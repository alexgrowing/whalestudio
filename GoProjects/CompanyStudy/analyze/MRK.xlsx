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8000" windowHeight="13420"/>
  </bookViews>
  <sheets>
    <sheet name="MRK" sheetId="2" r:id="rId1"/>
    <sheet name="分析结果" sheetId="4" r:id="rId2"/>
  </sheets>
  <calcPr calcId="144525" concurrentCalc="0"/>
</workbook>
</file>

<file path=xl/sharedStrings.xml><?xml version="1.0" encoding="utf-8"?>
<sst xmlns="http://schemas.openxmlformats.org/spreadsheetml/2006/main" count="197">
  <si>
    <t>WB</t>
  </si>
  <si>
    <t>资产负债表</t>
  </si>
  <si>
    <t>日期</t>
  </si>
  <si>
    <t>2018-06</t>
  </si>
  <si>
    <t>2018-03</t>
  </si>
  <si>
    <t>2017-12</t>
  </si>
  <si>
    <t>2017-09</t>
  </si>
  <si>
    <t>2017-06</t>
  </si>
  <si>
    <t>2017-03</t>
  </si>
  <si>
    <t>2016-12</t>
  </si>
  <si>
    <t>2016-09</t>
  </si>
  <si>
    <t>2016-06</t>
  </si>
  <si>
    <t>2016-03</t>
  </si>
  <si>
    <t>2015-12</t>
  </si>
  <si>
    <t>2015-09</t>
  </si>
  <si>
    <t>2015-06</t>
  </si>
  <si>
    <t>2015-03</t>
  </si>
  <si>
    <t>2014-12</t>
  </si>
  <si>
    <t>2014-09</t>
  </si>
  <si>
    <t>2014-06</t>
  </si>
  <si>
    <t>2014-03</t>
  </si>
  <si>
    <t>2013-12</t>
  </si>
  <si>
    <t>2013-09</t>
  </si>
  <si>
    <t>2013-06</t>
  </si>
  <si>
    <t>2013-03</t>
  </si>
  <si>
    <t>2012-12</t>
  </si>
  <si>
    <t>2012-09</t>
  </si>
  <si>
    <t>2012-06</t>
  </si>
  <si>
    <t>资产总额</t>
  </si>
  <si>
    <t>流动资产总额</t>
  </si>
  <si>
    <t>现金总额</t>
  </si>
  <si>
    <t>现金及到期存款</t>
  </si>
  <si>
    <t>现金及现金等价物</t>
  </si>
  <si>
    <t>联邦基金卖出所得</t>
  </si>
  <si>
    <t>短期投资</t>
  </si>
  <si>
    <t>衍生资产</t>
  </si>
  <si>
    <t>债务证券</t>
  </si>
  <si>
    <t>应收账款</t>
  </si>
  <si>
    <t>应收账款/现金总额</t>
  </si>
  <si>
    <t>预付费用</t>
  </si>
  <si>
    <t>证券及投资</t>
  </si>
  <si>
    <t>借入证券</t>
  </si>
  <si>
    <t>投资</t>
  </si>
  <si>
    <t>贷款</t>
  </si>
  <si>
    <t>贷款净额</t>
  </si>
  <si>
    <t>备付贷款损失</t>
  </si>
  <si>
    <t>存货</t>
  </si>
  <si>
    <t>(存货+应收账款)/现金总额</t>
  </si>
  <si>
    <t>递延税</t>
  </si>
  <si>
    <t>其他流动资产</t>
  </si>
  <si>
    <t>长期资产总额</t>
  </si>
  <si>
    <t>固定资产总额</t>
  </si>
  <si>
    <t>固定资产</t>
  </si>
  <si>
    <t>厂房设施与设备</t>
  </si>
  <si>
    <t>机器设备</t>
  </si>
  <si>
    <t>长期资产</t>
  </si>
  <si>
    <t>累积折旧</t>
  </si>
  <si>
    <t>股票及其他投资</t>
  </si>
  <si>
    <t>商誉价值</t>
  </si>
  <si>
    <t>无形资产</t>
  </si>
  <si>
    <t>其他无形资产</t>
  </si>
  <si>
    <t>其他长期资产</t>
  </si>
  <si>
    <t>其他资产</t>
  </si>
  <si>
    <t>负债和股东权益总计</t>
  </si>
  <si>
    <t>负债总额</t>
  </si>
  <si>
    <t>流动负债总额</t>
  </si>
  <si>
    <t>应付款项及应计费用</t>
  </si>
  <si>
    <t>应付账款</t>
  </si>
  <si>
    <t>应付税款</t>
  </si>
  <si>
    <t>应计债务</t>
  </si>
  <si>
    <t>存款额</t>
  </si>
  <si>
    <t>联邦基金费用</t>
  </si>
  <si>
    <t>衍生负债</t>
  </si>
  <si>
    <t>应付款项</t>
  </si>
  <si>
    <t>交易负债</t>
  </si>
  <si>
    <t>短期借债</t>
  </si>
  <si>
    <t>短期借贷</t>
  </si>
  <si>
    <t>预提支出及负债</t>
  </si>
  <si>
    <t>租赁资本</t>
  </si>
  <si>
    <t>其他流动负债</t>
  </si>
  <si>
    <t>长期负债总额</t>
  </si>
  <si>
    <t>长期负债</t>
  </si>
  <si>
    <t>递延税金</t>
  </si>
  <si>
    <t>少数股东权益</t>
  </si>
  <si>
    <t>递延所得税负债</t>
  </si>
  <si>
    <t>递延收入</t>
  </si>
  <si>
    <t>其他长期负债</t>
  </si>
  <si>
    <t>其他负债</t>
  </si>
  <si>
    <t>股东权益总计</t>
  </si>
  <si>
    <t>资本公积</t>
  </si>
  <si>
    <t>优先股</t>
  </si>
  <si>
    <t>普通股</t>
  </si>
  <si>
    <t>留存收益</t>
  </si>
  <si>
    <t>库存股份</t>
  </si>
  <si>
    <t>累积其他综合收益</t>
  </si>
  <si>
    <t>现金流量表</t>
  </si>
  <si>
    <t>经营活动带来的净现金流</t>
  </si>
  <si>
    <t>净利润</t>
  </si>
  <si>
    <t>信用损失计提</t>
  </si>
  <si>
    <t>折旧与摊销</t>
  </si>
  <si>
    <t>递延所得税费用(收益)</t>
  </si>
  <si>
    <t>投资损失（收益）</t>
  </si>
  <si>
    <t>投资/资产减损支出</t>
  </si>
  <si>
    <t>债务和发行成本摊销</t>
  </si>
  <si>
    <t>业务处置利得（损失）</t>
  </si>
  <si>
    <t>股权补偿</t>
  </si>
  <si>
    <t>应付所得税</t>
  </si>
  <si>
    <t>其他营运资金</t>
  </si>
  <si>
    <t>其他非现金项目</t>
  </si>
  <si>
    <t>其他资产与负债</t>
  </si>
  <si>
    <t>其他经营活动</t>
  </si>
  <si>
    <t>经营活动净现金流累计</t>
  </si>
  <si>
    <t>投资活动带来的净现金流</t>
  </si>
  <si>
    <t>固定资产投资</t>
  </si>
  <si>
    <t>收购</t>
  </si>
  <si>
    <t>并购和处置</t>
  </si>
  <si>
    <t>财产和设备</t>
  </si>
  <si>
    <t>购买投资资产</t>
  </si>
  <si>
    <r>
      <rPr>
        <sz val="10"/>
        <color indexed="8"/>
        <rFont val="宋体"/>
        <charset val="134"/>
      </rPr>
      <t>债务</t>
    </r>
    <r>
      <rPr>
        <sz val="10"/>
        <color indexed="8"/>
        <rFont val="Helvetica Neue"/>
        <charset val="134"/>
      </rPr>
      <t>/</t>
    </r>
    <r>
      <rPr>
        <sz val="10"/>
        <color indexed="8"/>
        <rFont val="宋体"/>
        <charset val="134"/>
      </rPr>
      <t>销售投资</t>
    </r>
  </si>
  <si>
    <t>购买无形资产</t>
  </si>
  <si>
    <t>其他投资活动</t>
  </si>
  <si>
    <t>累计投资支出</t>
  </si>
  <si>
    <t>累计投资支出+长期资产总额</t>
  </si>
  <si>
    <t>融资活动带来的净现金流</t>
  </si>
  <si>
    <t>融资活动带来的现金流</t>
  </si>
  <si>
    <t>长期债券发行</t>
  </si>
  <si>
    <t>长期债券偿还</t>
  </si>
  <si>
    <t>债券发行</t>
  </si>
  <si>
    <t>债券偿还</t>
  </si>
  <si>
    <t>普通股发行</t>
  </si>
  <si>
    <t>普通股回购</t>
  </si>
  <si>
    <t>库存股回购</t>
  </si>
  <si>
    <t>短期借款变化</t>
  </si>
  <si>
    <t>股息支付</t>
  </si>
  <si>
    <t>其他金融活动</t>
  </si>
  <si>
    <t>普通股回购累计</t>
  </si>
  <si>
    <t>股息支付累计</t>
  </si>
  <si>
    <t>普通股回购+股息支付累计</t>
  </si>
  <si>
    <t>经营活动带来的净现金流+普通股回购+股息支付</t>
  </si>
  <si>
    <t>汇率变动的影响</t>
  </si>
  <si>
    <t>净现金变化</t>
  </si>
  <si>
    <t>营运现金流量</t>
  </si>
  <si>
    <t>资本支出</t>
  </si>
  <si>
    <t>自由现金流</t>
  </si>
  <si>
    <t>期初现金流</t>
  </si>
  <si>
    <t>期末现金流</t>
  </si>
  <si>
    <t>利润表</t>
  </si>
  <si>
    <t>总收入</t>
  </si>
  <si>
    <t>毛利</t>
  </si>
  <si>
    <t>成本</t>
  </si>
  <si>
    <t>利息支出</t>
  </si>
  <si>
    <t>其他利息收入</t>
  </si>
  <si>
    <t>佣金及费用支出</t>
  </si>
  <si>
    <t>证券投资收益（亏损）</t>
  </si>
  <si>
    <t>保险收益（费用）</t>
  </si>
  <si>
    <t>其他收益</t>
  </si>
  <si>
    <t>收入，净利息费用</t>
  </si>
  <si>
    <t>净利息收入</t>
  </si>
  <si>
    <t>营业成本总额</t>
  </si>
  <si>
    <t>开发费用</t>
  </si>
  <si>
    <t>销售、管理及行政费用</t>
  </si>
  <si>
    <t>开发费用/销售管理行政费用</t>
  </si>
  <si>
    <t>其他营业费用</t>
  </si>
  <si>
    <t>薪酬福利支出</t>
  </si>
  <si>
    <t>折旧及摊销</t>
  </si>
  <si>
    <t>一次性费用</t>
  </si>
  <si>
    <t>电信及设备费用</t>
  </si>
  <si>
    <t>资产摊销费用</t>
  </si>
  <si>
    <t>其他特殊费用</t>
  </si>
  <si>
    <t>营业收入</t>
  </si>
  <si>
    <t>营业外收入</t>
  </si>
  <si>
    <t>税前可持续业务收益（亏损）</t>
  </si>
  <si>
    <t>备付税</t>
  </si>
  <si>
    <t>其他收入（支出）</t>
  </si>
  <si>
    <t>非持续经营收益</t>
  </si>
  <si>
    <t>营业外收入总额</t>
  </si>
  <si>
    <t>税前利润</t>
  </si>
  <si>
    <t>所得税前利润</t>
  </si>
  <si>
    <t>所得税</t>
  </si>
  <si>
    <t>所得税费用</t>
  </si>
  <si>
    <t>持续经营收益</t>
  </si>
  <si>
    <t>优先股利</t>
  </si>
  <si>
    <t>归属于股东的净利润</t>
  </si>
  <si>
    <t>基本每股收益</t>
  </si>
  <si>
    <t>摊薄每股收益</t>
  </si>
  <si>
    <t>基本加权平均股数</t>
  </si>
  <si>
    <t>摊薄加权平均股数</t>
  </si>
  <si>
    <t>息税折旧摊销前利润</t>
  </si>
  <si>
    <t>企业越来越不值钱了</t>
  </si>
  <si>
    <t>企业流动资金越来越少了</t>
  </si>
  <si>
    <t>生产出来的产品，要么卖不出去存货增加，要么卖出去后账收不回来</t>
  </si>
  <si>
    <t>也不知道这股票和其他投资是挣钱的还是亏钱的</t>
  </si>
  <si>
    <t>经营活动带来的现金流，还不足支持普通股回购与股息支付</t>
  </si>
  <si>
    <t>投资业绩逐年下滑</t>
  </si>
  <si>
    <t>开发的绝对费用和相对费用确实都是逐年递增的</t>
  </si>
  <si>
    <t>不知道开发费用剧增的原因是什么，特别是最近两年的12月份</t>
  </si>
  <si>
    <t>不知道会不会有大杀器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</si>
</sst>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0"/>
      <color indexed="8"/>
      <name val="Helvetica Neue"/>
      <charset val="134"/>
    </font>
    <font>
      <sz val="10"/>
      <color indexed="8"/>
      <name val="宋体"/>
      <charset val="134"/>
    </font>
    <font>
      <b/>
      <sz val="10"/>
      <color indexed="8"/>
      <name val="Helvetica Neue"/>
      <charset val="134"/>
    </font>
    <font>
      <sz val="12"/>
      <color indexed="8"/>
      <name val="Helvetica Neue"/>
      <charset val="134"/>
    </font>
    <font>
      <b/>
      <sz val="18"/>
      <color indexed="8"/>
      <name val="Helvetica Neue"/>
      <charset val="134"/>
    </font>
    <font>
      <b/>
      <sz val="10"/>
      <color indexed="8"/>
      <name val="宋体"/>
      <charset val="134"/>
    </font>
    <font>
      <sz val="11"/>
      <color theme="1"/>
      <name val="Helvetica Neue"/>
      <charset val="0"/>
      <scheme val="minor"/>
    </font>
    <font>
      <sz val="12"/>
      <color theme="1"/>
      <name val="Helvetica Neue"/>
      <charset val="134"/>
      <scheme val="minor"/>
    </font>
    <font>
      <sz val="11"/>
      <color theme="0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sz val="11"/>
      <color rgb="FF9C6500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i/>
      <sz val="11"/>
      <color rgb="FF7F7F7F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u/>
      <sz val="11"/>
      <color rgb="FF0000FF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sz val="11"/>
      <color rgb="FF9C0006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sz val="11"/>
      <color rgb="FFFF0000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b/>
      <sz val="11"/>
      <color theme="1"/>
      <name val="Helvetica Neue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0" fontId="8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4" fillId="31" borderId="14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9" fillId="14" borderId="14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15" borderId="13" applyNumberFormat="0" applyAlignment="0" applyProtection="0">
      <alignment vertical="center"/>
    </xf>
    <xf numFmtId="0" fontId="14" fillId="14" borderId="12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10" borderId="10" applyNumberFormat="0" applyFont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</cellStyleXfs>
  <cellXfs count="23">
    <xf numFmtId="0" fontId="0" fillId="0" borderId="0" xfId="0" applyFont="1" applyAlignment="1">
      <alignment vertical="top" wrapText="1"/>
    </xf>
    <xf numFmtId="0" fontId="0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0" fontId="3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" fontId="2" fillId="0" borderId="6" xfId="0" applyNumberFormat="1" applyFont="1" applyBorder="1" applyAlignment="1">
      <alignment vertical="top"/>
    </xf>
    <xf numFmtId="4" fontId="2" fillId="0" borderId="7" xfId="0" applyNumberFormat="1" applyFont="1" applyBorder="1" applyAlignment="1">
      <alignment vertical="top"/>
    </xf>
    <xf numFmtId="49" fontId="0" fillId="3" borderId="5" xfId="0" applyNumberFormat="1" applyFont="1" applyFill="1" applyBorder="1" applyAlignment="1">
      <alignment vertical="top"/>
    </xf>
    <xf numFmtId="4" fontId="0" fillId="0" borderId="6" xfId="0" applyNumberFormat="1" applyFont="1" applyBorder="1" applyAlignment="1">
      <alignment vertical="top"/>
    </xf>
    <xf numFmtId="4" fontId="0" fillId="0" borderId="7" xfId="0" applyNumberFormat="1" applyFont="1" applyBorder="1" applyAlignment="1">
      <alignment vertical="top"/>
    </xf>
    <xf numFmtId="49" fontId="5" fillId="3" borderId="5" xfId="0" applyNumberFormat="1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0" xfId="0" applyNumberFormat="1" applyFont="1" applyAlignment="1">
      <alignment vertical="top"/>
    </xf>
    <xf numFmtId="0" fontId="2" fillId="3" borderId="5" xfId="0" applyFont="1" applyFill="1" applyBorder="1" applyAlignment="1">
      <alignment vertical="top"/>
    </xf>
    <xf numFmtId="49" fontId="4" fillId="3" borderId="5" xfId="0" applyNumberFormat="1" applyFont="1" applyFill="1" applyBorder="1" applyAlignment="1">
      <alignment vertical="top"/>
    </xf>
    <xf numFmtId="4" fontId="2" fillId="0" borderId="8" xfId="0" applyNumberFormat="1" applyFont="1" applyBorder="1" applyAlignment="1">
      <alignment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D5D5D5"/>
      <rgbColor rgb="00A5A5A5"/>
      <rgbColor rgb="003F3F3F"/>
      <rgbColor rgb="00DBDBDB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资产总额逐年降低</a:t>
            </a:r>
            <a:endParaRPr lang="en-US" altLang="zh-CN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MRK!$B$3:$Z$3</c:f>
              <c:strCache>
                <c:ptCount val="25"/>
                <c:pt idx="0" c:formatCode="@">
                  <c:v>2018-06</c:v>
                </c:pt>
                <c:pt idx="1" c:formatCode="@">
                  <c:v>2018-03</c:v>
                </c:pt>
                <c:pt idx="2" c:formatCode="@">
                  <c:v>2017-12</c:v>
                </c:pt>
                <c:pt idx="3" c:formatCode="@">
                  <c:v>2017-09</c:v>
                </c:pt>
                <c:pt idx="4" c:formatCode="@">
                  <c:v>2017-06</c:v>
                </c:pt>
                <c:pt idx="5" c:formatCode="@">
                  <c:v>2017-03</c:v>
                </c:pt>
                <c:pt idx="6" c:formatCode="@">
                  <c:v>2016-12</c:v>
                </c:pt>
                <c:pt idx="7" c:formatCode="@">
                  <c:v>2016-09</c:v>
                </c:pt>
                <c:pt idx="8" c:formatCode="@">
                  <c:v>2016-06</c:v>
                </c:pt>
                <c:pt idx="9" c:formatCode="@">
                  <c:v>2016-03</c:v>
                </c:pt>
                <c:pt idx="10" c:formatCode="@">
                  <c:v>2015-12</c:v>
                </c:pt>
                <c:pt idx="11" c:formatCode="@">
                  <c:v>2015-09</c:v>
                </c:pt>
                <c:pt idx="12" c:formatCode="@">
                  <c:v>2015-06</c:v>
                </c:pt>
                <c:pt idx="13" c:formatCode="@">
                  <c:v>2015-03</c:v>
                </c:pt>
                <c:pt idx="14" c:formatCode="@">
                  <c:v>2014-12</c:v>
                </c:pt>
                <c:pt idx="15" c:formatCode="@">
                  <c:v>2014-09</c:v>
                </c:pt>
                <c:pt idx="16" c:formatCode="@">
                  <c:v>2014-06</c:v>
                </c:pt>
                <c:pt idx="17" c:formatCode="@">
                  <c:v>2014-03</c:v>
                </c:pt>
                <c:pt idx="18" c:formatCode="@">
                  <c:v>2013-12</c:v>
                </c:pt>
                <c:pt idx="19" c:formatCode="@">
                  <c:v>2013-09</c:v>
                </c:pt>
                <c:pt idx="20" c:formatCode="@">
                  <c:v>2013-06</c:v>
                </c:pt>
                <c:pt idx="21" c:formatCode="@">
                  <c:v>2013-03</c:v>
                </c:pt>
                <c:pt idx="22" c:formatCode="@">
                  <c:v>2012-12</c:v>
                </c:pt>
                <c:pt idx="23" c:formatCode="@">
                  <c:v>2012-09</c:v>
                </c:pt>
                <c:pt idx="24" c:formatCode="@">
                  <c:v>2012-06</c:v>
                </c:pt>
              </c:strCache>
            </c:strRef>
          </c:cat>
          <c:val>
            <c:numRef>
              <c:f>MRK!$B$4:$Z$4</c:f>
              <c:numCache>
                <c:formatCode>#,##0.00</c:formatCode>
                <c:ptCount val="25"/>
                <c:pt idx="0">
                  <c:v>85040000000</c:v>
                </c:pt>
                <c:pt idx="1">
                  <c:v>86041000000</c:v>
                </c:pt>
                <c:pt idx="2">
                  <c:v>87872000000</c:v>
                </c:pt>
                <c:pt idx="3">
                  <c:v>91676000000</c:v>
                </c:pt>
                <c:pt idx="4">
                  <c:v>92804000000</c:v>
                </c:pt>
                <c:pt idx="5">
                  <c:v>96561000000</c:v>
                </c:pt>
                <c:pt idx="6">
                  <c:v>95377000000</c:v>
                </c:pt>
                <c:pt idx="7">
                  <c:v>98335000000</c:v>
                </c:pt>
                <c:pt idx="8">
                  <c:v>96475000000</c:v>
                </c:pt>
                <c:pt idx="9">
                  <c:v>98755000000</c:v>
                </c:pt>
                <c:pt idx="10">
                  <c:v>101779000000</c:v>
                </c:pt>
                <c:pt idx="11">
                  <c:v>101232000000</c:v>
                </c:pt>
                <c:pt idx="12">
                  <c:v>102582000000</c:v>
                </c:pt>
                <c:pt idx="13">
                  <c:v>108345000000</c:v>
                </c:pt>
                <c:pt idx="14">
                  <c:v>98335000000</c:v>
                </c:pt>
                <c:pt idx="15">
                  <c:v>101808000000</c:v>
                </c:pt>
                <c:pt idx="16">
                  <c:v>97860000000</c:v>
                </c:pt>
                <c:pt idx="17">
                  <c:v>108460000000</c:v>
                </c:pt>
                <c:pt idx="18">
                  <c:v>105645000000</c:v>
                </c:pt>
                <c:pt idx="19">
                  <c:v>106419000000</c:v>
                </c:pt>
                <c:pt idx="20">
                  <c:v>106876000000</c:v>
                </c:pt>
                <c:pt idx="21">
                  <c:v>106200000000</c:v>
                </c:pt>
                <c:pt idx="22">
                  <c:v>106132000000</c:v>
                </c:pt>
                <c:pt idx="23">
                  <c:v>106301000000</c:v>
                </c:pt>
                <c:pt idx="24">
                  <c:v>105525000000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30670536"/>
        <c:axId val="2130675336"/>
      </c:lineChart>
      <c:catAx>
        <c:axId val="213067053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0675336"/>
        <c:crosses val="autoZero"/>
        <c:auto val="1"/>
        <c:lblAlgn val="ctr"/>
        <c:lblOffset val="100"/>
        <c:noMultiLvlLbl val="0"/>
      </c:catAx>
      <c:valAx>
        <c:axId val="2130675336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067053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现金总额逐年降低</a:t>
            </a:r>
            <a:endParaRPr lang="en-US" altLang="zh-CN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MRK!$B$3:$Z$3</c:f>
              <c:strCache>
                <c:ptCount val="25"/>
                <c:pt idx="0" c:formatCode="@">
                  <c:v>2018-06</c:v>
                </c:pt>
                <c:pt idx="1" c:formatCode="@">
                  <c:v>2018-03</c:v>
                </c:pt>
                <c:pt idx="2" c:formatCode="@">
                  <c:v>2017-12</c:v>
                </c:pt>
                <c:pt idx="3" c:formatCode="@">
                  <c:v>2017-09</c:v>
                </c:pt>
                <c:pt idx="4" c:formatCode="@">
                  <c:v>2017-06</c:v>
                </c:pt>
                <c:pt idx="5" c:formatCode="@">
                  <c:v>2017-03</c:v>
                </c:pt>
                <c:pt idx="6" c:formatCode="@">
                  <c:v>2016-12</c:v>
                </c:pt>
                <c:pt idx="7" c:formatCode="@">
                  <c:v>2016-09</c:v>
                </c:pt>
                <c:pt idx="8" c:formatCode="@">
                  <c:v>2016-06</c:v>
                </c:pt>
                <c:pt idx="9" c:formatCode="@">
                  <c:v>2016-03</c:v>
                </c:pt>
                <c:pt idx="10" c:formatCode="@">
                  <c:v>2015-12</c:v>
                </c:pt>
                <c:pt idx="11" c:formatCode="@">
                  <c:v>2015-09</c:v>
                </c:pt>
                <c:pt idx="12" c:formatCode="@">
                  <c:v>2015-06</c:v>
                </c:pt>
                <c:pt idx="13" c:formatCode="@">
                  <c:v>2015-03</c:v>
                </c:pt>
                <c:pt idx="14" c:formatCode="@">
                  <c:v>2014-12</c:v>
                </c:pt>
                <c:pt idx="15" c:formatCode="@">
                  <c:v>2014-09</c:v>
                </c:pt>
                <c:pt idx="16" c:formatCode="@">
                  <c:v>2014-06</c:v>
                </c:pt>
                <c:pt idx="17" c:formatCode="@">
                  <c:v>2014-03</c:v>
                </c:pt>
                <c:pt idx="18" c:formatCode="@">
                  <c:v>2013-12</c:v>
                </c:pt>
                <c:pt idx="19" c:formatCode="@">
                  <c:v>2013-09</c:v>
                </c:pt>
                <c:pt idx="20" c:formatCode="@">
                  <c:v>2013-06</c:v>
                </c:pt>
                <c:pt idx="21" c:formatCode="@">
                  <c:v>2013-03</c:v>
                </c:pt>
                <c:pt idx="22" c:formatCode="@">
                  <c:v>2012-12</c:v>
                </c:pt>
                <c:pt idx="23" c:formatCode="@">
                  <c:v>2012-09</c:v>
                </c:pt>
                <c:pt idx="24" c:formatCode="@">
                  <c:v>2012-06</c:v>
                </c:pt>
              </c:strCache>
            </c:strRef>
          </c:cat>
          <c:val>
            <c:numRef>
              <c:f>MRK!$B$6:$Z$6</c:f>
              <c:numCache>
                <c:formatCode>#,##0.00</c:formatCode>
                <c:ptCount val="25"/>
                <c:pt idx="0">
                  <c:v>7594000000</c:v>
                </c:pt>
                <c:pt idx="1">
                  <c:v>7346000000</c:v>
                </c:pt>
                <c:pt idx="2">
                  <c:v>8498000000</c:v>
                </c:pt>
                <c:pt idx="3">
                  <c:v>11195000000</c:v>
                </c:pt>
                <c:pt idx="4">
                  <c:v>11967000000</c:v>
                </c:pt>
                <c:pt idx="5">
                  <c:v>15249000000</c:v>
                </c:pt>
                <c:pt idx="6">
                  <c:v>14341000000</c:v>
                </c:pt>
                <c:pt idx="7">
                  <c:v>13067000000</c:v>
                </c:pt>
                <c:pt idx="8">
                  <c:v>11834000000</c:v>
                </c:pt>
                <c:pt idx="9">
                  <c:v>12943000000</c:v>
                </c:pt>
                <c:pt idx="10">
                  <c:v>13427000000</c:v>
                </c:pt>
                <c:pt idx="11">
                  <c:v>12089000000</c:v>
                </c:pt>
                <c:pt idx="12">
                  <c:v>11370000000</c:v>
                </c:pt>
                <c:pt idx="13">
                  <c:v>15601000000</c:v>
                </c:pt>
                <c:pt idx="14">
                  <c:v>15719000000</c:v>
                </c:pt>
                <c:pt idx="15">
                  <c:v>14347000000</c:v>
                </c:pt>
                <c:pt idx="16">
                  <c:v>13395000000</c:v>
                </c:pt>
                <c:pt idx="17">
                  <c:v>20513000000</c:v>
                </c:pt>
                <c:pt idx="18">
                  <c:v>17486000000</c:v>
                </c:pt>
                <c:pt idx="19">
                  <c:v>18169000000</c:v>
                </c:pt>
                <c:pt idx="20">
                  <c:v>18098000000</c:v>
                </c:pt>
                <c:pt idx="21">
                  <c:v>16022000000</c:v>
                </c:pt>
                <c:pt idx="22">
                  <c:v>16141000000</c:v>
                </c:pt>
                <c:pt idx="23">
                  <c:v>18117000000</c:v>
                </c:pt>
                <c:pt idx="2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29956968"/>
        <c:axId val="2129954008"/>
      </c:lineChart>
      <c:catAx>
        <c:axId val="21299569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9954008"/>
        <c:crosses val="autoZero"/>
        <c:auto val="1"/>
        <c:lblAlgn val="ctr"/>
        <c:lblOffset val="100"/>
        <c:noMultiLvlLbl val="0"/>
      </c:catAx>
      <c:valAx>
        <c:axId val="2129954008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995696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应收账款</a:t>
            </a:r>
            <a:r>
              <a:rPr lang="en-US" altLang="zh-CN"/>
              <a:t>/</a:t>
            </a:r>
            <a:r>
              <a:rPr lang="zh-CN" altLang="en-US"/>
              <a:t>现金总额逐年增加</a:t>
            </a:r>
            <a:endParaRPr lang="en-US" altLang="zh-CN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MRK!$B$3:$Z$3</c:f>
              <c:strCache>
                <c:ptCount val="25"/>
                <c:pt idx="0" c:formatCode="@">
                  <c:v>2018-06</c:v>
                </c:pt>
                <c:pt idx="1" c:formatCode="@">
                  <c:v>2018-03</c:v>
                </c:pt>
                <c:pt idx="2" c:formatCode="@">
                  <c:v>2017-12</c:v>
                </c:pt>
                <c:pt idx="3" c:formatCode="@">
                  <c:v>2017-09</c:v>
                </c:pt>
                <c:pt idx="4" c:formatCode="@">
                  <c:v>2017-06</c:v>
                </c:pt>
                <c:pt idx="5" c:formatCode="@">
                  <c:v>2017-03</c:v>
                </c:pt>
                <c:pt idx="6" c:formatCode="@">
                  <c:v>2016-12</c:v>
                </c:pt>
                <c:pt idx="7" c:formatCode="@">
                  <c:v>2016-09</c:v>
                </c:pt>
                <c:pt idx="8" c:formatCode="@">
                  <c:v>2016-06</c:v>
                </c:pt>
                <c:pt idx="9" c:formatCode="@">
                  <c:v>2016-03</c:v>
                </c:pt>
                <c:pt idx="10" c:formatCode="@">
                  <c:v>2015-12</c:v>
                </c:pt>
                <c:pt idx="11" c:formatCode="@">
                  <c:v>2015-09</c:v>
                </c:pt>
                <c:pt idx="12" c:formatCode="@">
                  <c:v>2015-06</c:v>
                </c:pt>
                <c:pt idx="13" c:formatCode="@">
                  <c:v>2015-03</c:v>
                </c:pt>
                <c:pt idx="14" c:formatCode="@">
                  <c:v>2014-12</c:v>
                </c:pt>
                <c:pt idx="15" c:formatCode="@">
                  <c:v>2014-09</c:v>
                </c:pt>
                <c:pt idx="16" c:formatCode="@">
                  <c:v>2014-06</c:v>
                </c:pt>
                <c:pt idx="17" c:formatCode="@">
                  <c:v>2014-03</c:v>
                </c:pt>
                <c:pt idx="18" c:formatCode="@">
                  <c:v>2013-12</c:v>
                </c:pt>
                <c:pt idx="19" c:formatCode="@">
                  <c:v>2013-09</c:v>
                </c:pt>
                <c:pt idx="20" c:formatCode="@">
                  <c:v>2013-06</c:v>
                </c:pt>
                <c:pt idx="21" c:formatCode="@">
                  <c:v>2013-03</c:v>
                </c:pt>
                <c:pt idx="22" c:formatCode="@">
                  <c:v>2012-12</c:v>
                </c:pt>
                <c:pt idx="23" c:formatCode="@">
                  <c:v>2012-09</c:v>
                </c:pt>
                <c:pt idx="24" c:formatCode="@">
                  <c:v>2012-06</c:v>
                </c:pt>
              </c:strCache>
            </c:strRef>
          </c:cat>
          <c:val>
            <c:numRef>
              <c:f>MRK!$B$14:$Z$14</c:f>
              <c:numCache>
                <c:formatCode>#,##0.00</c:formatCode>
                <c:ptCount val="25"/>
                <c:pt idx="0">
                  <c:v>0.95957334737951</c:v>
                </c:pt>
                <c:pt idx="1">
                  <c:v>0.98625102096379</c:v>
                </c:pt>
                <c:pt idx="2">
                  <c:v>0.808778536126147</c:v>
                </c:pt>
                <c:pt idx="3">
                  <c:v>0.685216614560071</c:v>
                </c:pt>
                <c:pt idx="4">
                  <c:v>0.621626138547673</c:v>
                </c:pt>
                <c:pt idx="5">
                  <c:v>0.46337464751787</c:v>
                </c:pt>
                <c:pt idx="6">
                  <c:v>0.489366152987937</c:v>
                </c:pt>
                <c:pt idx="7">
                  <c:v>0.563557052116017</c:v>
                </c:pt>
                <c:pt idx="8">
                  <c:v>0.584417779280041</c:v>
                </c:pt>
                <c:pt idx="9">
                  <c:v>0.529243606582709</c:v>
                </c:pt>
                <c:pt idx="10">
                  <c:v>0.482907574290608</c:v>
                </c:pt>
                <c:pt idx="11">
                  <c:v>0.530564976424849</c:v>
                </c:pt>
                <c:pt idx="12">
                  <c:v>0.572559366754617</c:v>
                </c:pt>
                <c:pt idx="13">
                  <c:v>0.427536696365618</c:v>
                </c:pt>
                <c:pt idx="14">
                  <c:v>0.421528087028437</c:v>
                </c:pt>
                <c:pt idx="15">
                  <c:v>0.45410190283683</c:v>
                </c:pt>
                <c:pt idx="16">
                  <c:v>0.524225457260172</c:v>
                </c:pt>
                <c:pt idx="17">
                  <c:v>0.350411933895578</c:v>
                </c:pt>
                <c:pt idx="18">
                  <c:v>0.410842960082352</c:v>
                </c:pt>
                <c:pt idx="19">
                  <c:v>0.417084044251197</c:v>
                </c:pt>
                <c:pt idx="20">
                  <c:v>0.429826500165764</c:v>
                </c:pt>
                <c:pt idx="21">
                  <c:v>0.497128947696917</c:v>
                </c:pt>
                <c:pt idx="22">
                  <c:v>0.475311319001301</c:v>
                </c:pt>
                <c:pt idx="23">
                  <c:v>0.438924766793619</c:v>
                </c:pt>
                <c:pt idx="2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29927352"/>
        <c:axId val="2129924392"/>
      </c:lineChart>
      <c:catAx>
        <c:axId val="212992735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9924392"/>
        <c:crosses val="autoZero"/>
        <c:auto val="1"/>
        <c:lblAlgn val="ctr"/>
        <c:lblOffset val="100"/>
        <c:noMultiLvlLbl val="0"/>
      </c:catAx>
      <c:valAx>
        <c:axId val="212992439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992735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(</a:t>
            </a:r>
            <a:r>
              <a:rPr lang="zh-CN" altLang="en-US"/>
              <a:t>存货</a:t>
            </a:r>
            <a:r>
              <a:rPr lang="en-US" altLang="zh-CN"/>
              <a:t>+</a:t>
            </a:r>
            <a:r>
              <a:rPr lang="zh-CN" altLang="en-US"/>
              <a:t>应收账款</a:t>
            </a:r>
            <a:r>
              <a:rPr lang="en-US" altLang="zh-CN"/>
              <a:t>)/</a:t>
            </a:r>
            <a:r>
              <a:rPr lang="zh-CN" altLang="en-US"/>
              <a:t>现金总额逐年增加</a:t>
            </a:r>
            <a:endParaRPr lang="en-US" altLang="zh-CN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MRK!$B$3:$Z$3</c:f>
              <c:strCache>
                <c:ptCount val="25"/>
                <c:pt idx="0" c:formatCode="@">
                  <c:v>2018-06</c:v>
                </c:pt>
                <c:pt idx="1" c:formatCode="@">
                  <c:v>2018-03</c:v>
                </c:pt>
                <c:pt idx="2" c:formatCode="@">
                  <c:v>2017-12</c:v>
                </c:pt>
                <c:pt idx="3" c:formatCode="@">
                  <c:v>2017-09</c:v>
                </c:pt>
                <c:pt idx="4" c:formatCode="@">
                  <c:v>2017-06</c:v>
                </c:pt>
                <c:pt idx="5" c:formatCode="@">
                  <c:v>2017-03</c:v>
                </c:pt>
                <c:pt idx="6" c:formatCode="@">
                  <c:v>2016-12</c:v>
                </c:pt>
                <c:pt idx="7" c:formatCode="@">
                  <c:v>2016-09</c:v>
                </c:pt>
                <c:pt idx="8" c:formatCode="@">
                  <c:v>2016-06</c:v>
                </c:pt>
                <c:pt idx="9" c:formatCode="@">
                  <c:v>2016-03</c:v>
                </c:pt>
                <c:pt idx="10" c:formatCode="@">
                  <c:v>2015-12</c:v>
                </c:pt>
                <c:pt idx="11" c:formatCode="@">
                  <c:v>2015-09</c:v>
                </c:pt>
                <c:pt idx="12" c:formatCode="@">
                  <c:v>2015-06</c:v>
                </c:pt>
                <c:pt idx="13" c:formatCode="@">
                  <c:v>2015-03</c:v>
                </c:pt>
                <c:pt idx="14" c:formatCode="@">
                  <c:v>2014-12</c:v>
                </c:pt>
                <c:pt idx="15" c:formatCode="@">
                  <c:v>2014-09</c:v>
                </c:pt>
                <c:pt idx="16" c:formatCode="@">
                  <c:v>2014-06</c:v>
                </c:pt>
                <c:pt idx="17" c:formatCode="@">
                  <c:v>2014-03</c:v>
                </c:pt>
                <c:pt idx="18" c:formatCode="@">
                  <c:v>2013-12</c:v>
                </c:pt>
                <c:pt idx="19" c:formatCode="@">
                  <c:v>2013-09</c:v>
                </c:pt>
                <c:pt idx="20" c:formatCode="@">
                  <c:v>2013-06</c:v>
                </c:pt>
                <c:pt idx="21" c:formatCode="@">
                  <c:v>2013-03</c:v>
                </c:pt>
                <c:pt idx="22" c:formatCode="@">
                  <c:v>2012-12</c:v>
                </c:pt>
                <c:pt idx="23" c:formatCode="@">
                  <c:v>2012-09</c:v>
                </c:pt>
                <c:pt idx="24" c:formatCode="@">
                  <c:v>2012-06</c:v>
                </c:pt>
              </c:strCache>
            </c:strRef>
          </c:cat>
          <c:val>
            <c:numRef>
              <c:f>MRK!$B$23:$Z$23</c:f>
              <c:numCache>
                <c:formatCode>#,##0.00</c:formatCode>
                <c:ptCount val="25"/>
                <c:pt idx="0">
                  <c:v>1.64142744271794</c:v>
                </c:pt>
                <c:pt idx="1">
                  <c:v>1.71889463653689</c:v>
                </c:pt>
                <c:pt idx="2">
                  <c:v>1.40844904683455</c:v>
                </c:pt>
                <c:pt idx="3">
                  <c:v>1.15533720410898</c:v>
                </c:pt>
                <c:pt idx="4">
                  <c:v>1.0734519929807</c:v>
                </c:pt>
                <c:pt idx="5">
                  <c:v>0.800839399304872</c:v>
                </c:pt>
                <c:pt idx="6">
                  <c:v>0.828673035353183</c:v>
                </c:pt>
                <c:pt idx="7">
                  <c:v>0.964873345067728</c:v>
                </c:pt>
                <c:pt idx="8">
                  <c:v>1.02788575291533</c:v>
                </c:pt>
                <c:pt idx="9">
                  <c:v>0.923433516186356</c:v>
                </c:pt>
                <c:pt idx="10">
                  <c:v>0.832948536530871</c:v>
                </c:pt>
                <c:pt idx="11">
                  <c:v>0.954338654975598</c:v>
                </c:pt>
                <c:pt idx="12">
                  <c:v>1.03922603342128</c:v>
                </c:pt>
                <c:pt idx="13">
                  <c:v>0.782578039869239</c:v>
                </c:pt>
                <c:pt idx="14">
                  <c:v>0.775939945289141</c:v>
                </c:pt>
                <c:pt idx="15">
                  <c:v>0.859691921656095</c:v>
                </c:pt>
                <c:pt idx="16">
                  <c:v>0.982306830907055</c:v>
                </c:pt>
                <c:pt idx="17">
                  <c:v>0.661239214156876</c:v>
                </c:pt>
                <c:pt idx="18">
                  <c:v>0.766899233672652</c:v>
                </c:pt>
                <c:pt idx="19">
                  <c:v>0.788100610930706</c:v>
                </c:pt>
                <c:pt idx="20">
                  <c:v>0.803679964636976</c:v>
                </c:pt>
                <c:pt idx="21">
                  <c:v>0.919860192235676</c:v>
                </c:pt>
                <c:pt idx="22">
                  <c:v>0.88018090576792</c:v>
                </c:pt>
                <c:pt idx="23">
                  <c:v>0.810454269470663</c:v>
                </c:pt>
                <c:pt idx="2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29897288"/>
        <c:axId val="2129894328"/>
      </c:lineChart>
      <c:catAx>
        <c:axId val="212989728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9894328"/>
        <c:crosses val="autoZero"/>
        <c:auto val="1"/>
        <c:lblAlgn val="ctr"/>
        <c:lblOffset val="100"/>
        <c:noMultiLvlLbl val="0"/>
      </c:catAx>
      <c:valAx>
        <c:axId val="2129894328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98972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股票及其他投资</a:t>
            </a:r>
            <a:endParaRPr lang="en-US" altLang="zh-CN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MRK!$B$3:$Z$3</c:f>
              <c:strCache>
                <c:ptCount val="25"/>
                <c:pt idx="0" c:formatCode="@">
                  <c:v>2018-06</c:v>
                </c:pt>
                <c:pt idx="1" c:formatCode="@">
                  <c:v>2018-03</c:v>
                </c:pt>
                <c:pt idx="2" c:formatCode="@">
                  <c:v>2017-12</c:v>
                </c:pt>
                <c:pt idx="3" c:formatCode="@">
                  <c:v>2017-09</c:v>
                </c:pt>
                <c:pt idx="4" c:formatCode="@">
                  <c:v>2017-06</c:v>
                </c:pt>
                <c:pt idx="5" c:formatCode="@">
                  <c:v>2017-03</c:v>
                </c:pt>
                <c:pt idx="6" c:formatCode="@">
                  <c:v>2016-12</c:v>
                </c:pt>
                <c:pt idx="7" c:formatCode="@">
                  <c:v>2016-09</c:v>
                </c:pt>
                <c:pt idx="8" c:formatCode="@">
                  <c:v>2016-06</c:v>
                </c:pt>
                <c:pt idx="9" c:formatCode="@">
                  <c:v>2016-03</c:v>
                </c:pt>
                <c:pt idx="10" c:formatCode="@">
                  <c:v>2015-12</c:v>
                </c:pt>
                <c:pt idx="11" c:formatCode="@">
                  <c:v>2015-09</c:v>
                </c:pt>
                <c:pt idx="12" c:formatCode="@">
                  <c:v>2015-06</c:v>
                </c:pt>
                <c:pt idx="13" c:formatCode="@">
                  <c:v>2015-03</c:v>
                </c:pt>
                <c:pt idx="14" c:formatCode="@">
                  <c:v>2014-12</c:v>
                </c:pt>
                <c:pt idx="15" c:formatCode="@">
                  <c:v>2014-09</c:v>
                </c:pt>
                <c:pt idx="16" c:formatCode="@">
                  <c:v>2014-06</c:v>
                </c:pt>
                <c:pt idx="17" c:formatCode="@">
                  <c:v>2014-03</c:v>
                </c:pt>
                <c:pt idx="18" c:formatCode="@">
                  <c:v>2013-12</c:v>
                </c:pt>
                <c:pt idx="19" c:formatCode="@">
                  <c:v>2013-09</c:v>
                </c:pt>
                <c:pt idx="20" c:formatCode="@">
                  <c:v>2013-06</c:v>
                </c:pt>
                <c:pt idx="21" c:formatCode="@">
                  <c:v>2013-03</c:v>
                </c:pt>
                <c:pt idx="22" c:formatCode="@">
                  <c:v>2012-12</c:v>
                </c:pt>
                <c:pt idx="23" c:formatCode="@">
                  <c:v>2012-09</c:v>
                </c:pt>
                <c:pt idx="24" c:formatCode="@">
                  <c:v>2012-06</c:v>
                </c:pt>
              </c:strCache>
            </c:strRef>
          </c:cat>
          <c:val>
            <c:numRef>
              <c:f>MRK!$B$33:$Z$33</c:f>
              <c:numCache>
                <c:formatCode>#,##0.00</c:formatCode>
                <c:ptCount val="25"/>
                <c:pt idx="0">
                  <c:v>10033000000</c:v>
                </c:pt>
                <c:pt idx="1">
                  <c:v>11033000000</c:v>
                </c:pt>
                <c:pt idx="2">
                  <c:v>12125000000</c:v>
                </c:pt>
                <c:pt idx="3">
                  <c:v>12206000000</c:v>
                </c:pt>
                <c:pt idx="4">
                  <c:v>12138000000</c:v>
                </c:pt>
                <c:pt idx="5">
                  <c:v>11896000000</c:v>
                </c:pt>
                <c:pt idx="6">
                  <c:v>11416000000</c:v>
                </c:pt>
                <c:pt idx="7">
                  <c:v>11657000000</c:v>
                </c:pt>
                <c:pt idx="8">
                  <c:v>11879000000</c:v>
                </c:pt>
                <c:pt idx="9">
                  <c:v>12554000000</c:v>
                </c:pt>
                <c:pt idx="10">
                  <c:v>13039000000</c:v>
                </c:pt>
                <c:pt idx="11">
                  <c:v>13080000000</c:v>
                </c:pt>
                <c:pt idx="12">
                  <c:v>13333000000</c:v>
                </c:pt>
                <c:pt idx="13">
                  <c:v>13092000000</c:v>
                </c:pt>
                <c:pt idx="14">
                  <c:v>13515000000</c:v>
                </c:pt>
                <c:pt idx="15">
                  <c:v>13492000000</c:v>
                </c:pt>
                <c:pt idx="16">
                  <c:v>12618000000</c:v>
                </c:pt>
                <c:pt idx="17">
                  <c:v>11456000000</c:v>
                </c:pt>
                <c:pt idx="18">
                  <c:v>9770000000</c:v>
                </c:pt>
                <c:pt idx="19">
                  <c:v>9198000000</c:v>
                </c:pt>
                <c:pt idx="20">
                  <c:v>8555000000</c:v>
                </c:pt>
                <c:pt idx="21">
                  <c:v>7948000000</c:v>
                </c:pt>
                <c:pt idx="22">
                  <c:v>7305000000</c:v>
                </c:pt>
                <c:pt idx="23">
                  <c:v>5560000000</c:v>
                </c:pt>
                <c:pt idx="2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29869064"/>
        <c:axId val="2129866104"/>
      </c:lineChart>
      <c:catAx>
        <c:axId val="212986906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9866104"/>
        <c:crosses val="autoZero"/>
        <c:auto val="1"/>
        <c:lblAlgn val="ctr"/>
        <c:lblOffset val="100"/>
        <c:noMultiLvlLbl val="0"/>
      </c:catAx>
      <c:valAx>
        <c:axId val="2129866104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98690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普通股回购</a:t>
            </a:r>
            <a:r>
              <a:rPr lang="en-US" altLang="zh-CN"/>
              <a:t>+</a:t>
            </a:r>
            <a:r>
              <a:rPr lang="zh-CN" altLang="en-US"/>
              <a:t>股息支付累计</a:t>
            </a:r>
            <a:endParaRPr lang="en-US" altLang="zh-CN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MRK!$B$3:$Z$3</c:f>
              <c:strCache>
                <c:ptCount val="25"/>
                <c:pt idx="0" c:formatCode="@">
                  <c:v>2018-06</c:v>
                </c:pt>
                <c:pt idx="1" c:formatCode="@">
                  <c:v>2018-03</c:v>
                </c:pt>
                <c:pt idx="2" c:formatCode="@">
                  <c:v>2017-12</c:v>
                </c:pt>
                <c:pt idx="3" c:formatCode="@">
                  <c:v>2017-09</c:v>
                </c:pt>
                <c:pt idx="4" c:formatCode="@">
                  <c:v>2017-06</c:v>
                </c:pt>
                <c:pt idx="5" c:formatCode="@">
                  <c:v>2017-03</c:v>
                </c:pt>
                <c:pt idx="6" c:formatCode="@">
                  <c:v>2016-12</c:v>
                </c:pt>
                <c:pt idx="7" c:formatCode="@">
                  <c:v>2016-09</c:v>
                </c:pt>
                <c:pt idx="8" c:formatCode="@">
                  <c:v>2016-06</c:v>
                </c:pt>
                <c:pt idx="9" c:formatCode="@">
                  <c:v>2016-03</c:v>
                </c:pt>
                <c:pt idx="10" c:formatCode="@">
                  <c:v>2015-12</c:v>
                </c:pt>
                <c:pt idx="11" c:formatCode="@">
                  <c:v>2015-09</c:v>
                </c:pt>
                <c:pt idx="12" c:formatCode="@">
                  <c:v>2015-06</c:v>
                </c:pt>
                <c:pt idx="13" c:formatCode="@">
                  <c:v>2015-03</c:v>
                </c:pt>
                <c:pt idx="14" c:formatCode="@">
                  <c:v>2014-12</c:v>
                </c:pt>
                <c:pt idx="15" c:formatCode="@">
                  <c:v>2014-09</c:v>
                </c:pt>
                <c:pt idx="16" c:formatCode="@">
                  <c:v>2014-06</c:v>
                </c:pt>
                <c:pt idx="17" c:formatCode="@">
                  <c:v>2014-03</c:v>
                </c:pt>
                <c:pt idx="18" c:formatCode="@">
                  <c:v>2013-12</c:v>
                </c:pt>
                <c:pt idx="19" c:formatCode="@">
                  <c:v>2013-09</c:v>
                </c:pt>
                <c:pt idx="20" c:formatCode="@">
                  <c:v>2013-06</c:v>
                </c:pt>
                <c:pt idx="21" c:formatCode="@">
                  <c:v>2013-03</c:v>
                </c:pt>
                <c:pt idx="22" c:formatCode="@">
                  <c:v>2012-12</c:v>
                </c:pt>
                <c:pt idx="23" c:formatCode="@">
                  <c:v>2012-09</c:v>
                </c:pt>
                <c:pt idx="24" c:formatCode="@">
                  <c:v>2012-06</c:v>
                </c:pt>
              </c:strCache>
            </c:strRef>
          </c:cat>
          <c:val>
            <c:numRef>
              <c:f>MRK!$B$120:$Z$120</c:f>
              <c:numCache>
                <c:formatCode>#,##0.00</c:formatCode>
                <c:ptCount val="25"/>
                <c:pt idx="0">
                  <c:v>-60840000000</c:v>
                </c:pt>
                <c:pt idx="1">
                  <c:v>-57933000000</c:v>
                </c:pt>
                <c:pt idx="2">
                  <c:v>-56068000000</c:v>
                </c:pt>
                <c:pt idx="3">
                  <c:v>-53083000000</c:v>
                </c:pt>
                <c:pt idx="4">
                  <c:v>-51641000000</c:v>
                </c:pt>
                <c:pt idx="5">
                  <c:v>-49200000000</c:v>
                </c:pt>
                <c:pt idx="6">
                  <c:v>-46887000000</c:v>
                </c:pt>
                <c:pt idx="7">
                  <c:v>-44600000000</c:v>
                </c:pt>
                <c:pt idx="8">
                  <c:v>-42481000000</c:v>
                </c:pt>
                <c:pt idx="9">
                  <c:v>-40521000000</c:v>
                </c:pt>
                <c:pt idx="10">
                  <c:v>-38329000000</c:v>
                </c:pt>
                <c:pt idx="11">
                  <c:v>-35885000000</c:v>
                </c:pt>
                <c:pt idx="12">
                  <c:v>-33332000000</c:v>
                </c:pt>
                <c:pt idx="13">
                  <c:v>-31321000000</c:v>
                </c:pt>
                <c:pt idx="14">
                  <c:v>-29026000000</c:v>
                </c:pt>
                <c:pt idx="15">
                  <c:v>-26070000000</c:v>
                </c:pt>
                <c:pt idx="16">
                  <c:v>-22118000000</c:v>
                </c:pt>
                <c:pt idx="17">
                  <c:v>-18533000000</c:v>
                </c:pt>
                <c:pt idx="18">
                  <c:v>-16076000000</c:v>
                </c:pt>
                <c:pt idx="19">
                  <c:v>-14500000000</c:v>
                </c:pt>
                <c:pt idx="20">
                  <c:v>-13026000000</c:v>
                </c:pt>
                <c:pt idx="21">
                  <c:v>-6169000000</c:v>
                </c:pt>
                <c:pt idx="22">
                  <c:v>-4283000000</c:v>
                </c:pt>
                <c:pt idx="23">
                  <c:v>-1731000000</c:v>
                </c:pt>
                <c:pt idx="2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29839528"/>
        <c:axId val="2129836568"/>
      </c:lineChart>
      <c:catAx>
        <c:axId val="212983952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9836568"/>
        <c:crosses val="autoZero"/>
        <c:auto val="1"/>
        <c:lblAlgn val="ctr"/>
        <c:lblOffset val="100"/>
        <c:noMultiLvlLbl val="0"/>
      </c:catAx>
      <c:valAx>
        <c:axId val="2129836568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98395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经营活动净现金流累计</a:t>
            </a:r>
            <a:endParaRPr lang="en-US" altLang="zh-CN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MRK!$B$3:$Z$3</c:f>
              <c:strCache>
                <c:ptCount val="25"/>
                <c:pt idx="0" c:formatCode="@">
                  <c:v>2018-06</c:v>
                </c:pt>
                <c:pt idx="1" c:formatCode="@">
                  <c:v>2018-03</c:v>
                </c:pt>
                <c:pt idx="2" c:formatCode="@">
                  <c:v>2017-12</c:v>
                </c:pt>
                <c:pt idx="3" c:formatCode="@">
                  <c:v>2017-09</c:v>
                </c:pt>
                <c:pt idx="4" c:formatCode="@">
                  <c:v>2017-06</c:v>
                </c:pt>
                <c:pt idx="5" c:formatCode="@">
                  <c:v>2017-03</c:v>
                </c:pt>
                <c:pt idx="6" c:formatCode="@">
                  <c:v>2016-12</c:v>
                </c:pt>
                <c:pt idx="7" c:formatCode="@">
                  <c:v>2016-09</c:v>
                </c:pt>
                <c:pt idx="8" c:formatCode="@">
                  <c:v>2016-06</c:v>
                </c:pt>
                <c:pt idx="9" c:formatCode="@">
                  <c:v>2016-03</c:v>
                </c:pt>
                <c:pt idx="10" c:formatCode="@">
                  <c:v>2015-12</c:v>
                </c:pt>
                <c:pt idx="11" c:formatCode="@">
                  <c:v>2015-09</c:v>
                </c:pt>
                <c:pt idx="12" c:formatCode="@">
                  <c:v>2015-06</c:v>
                </c:pt>
                <c:pt idx="13" c:formatCode="@">
                  <c:v>2015-03</c:v>
                </c:pt>
                <c:pt idx="14" c:formatCode="@">
                  <c:v>2014-12</c:v>
                </c:pt>
                <c:pt idx="15" c:formatCode="@">
                  <c:v>2014-09</c:v>
                </c:pt>
                <c:pt idx="16" c:formatCode="@">
                  <c:v>2014-06</c:v>
                </c:pt>
                <c:pt idx="17" c:formatCode="@">
                  <c:v>2014-03</c:v>
                </c:pt>
                <c:pt idx="18" c:formatCode="@">
                  <c:v>2013-12</c:v>
                </c:pt>
                <c:pt idx="19" c:formatCode="@">
                  <c:v>2013-09</c:v>
                </c:pt>
                <c:pt idx="20" c:formatCode="@">
                  <c:v>2013-06</c:v>
                </c:pt>
                <c:pt idx="21" c:formatCode="@">
                  <c:v>2013-03</c:v>
                </c:pt>
                <c:pt idx="22" c:formatCode="@">
                  <c:v>2012-12</c:v>
                </c:pt>
                <c:pt idx="23" c:formatCode="@">
                  <c:v>2012-09</c:v>
                </c:pt>
                <c:pt idx="24" c:formatCode="@">
                  <c:v>2012-06</c:v>
                </c:pt>
              </c:strCache>
            </c:strRef>
          </c:cat>
          <c:val>
            <c:numRef>
              <c:f>MRK!$B$94:$Z$94</c:f>
              <c:numCache>
                <c:formatCode>#,##0.00</c:formatCode>
                <c:ptCount val="25"/>
                <c:pt idx="0">
                  <c:v>58243000000</c:v>
                </c:pt>
                <c:pt idx="1">
                  <c:v>54861000000</c:v>
                </c:pt>
                <c:pt idx="2">
                  <c:v>53706000000</c:v>
                </c:pt>
                <c:pt idx="3">
                  <c:v>49691000000</c:v>
                </c:pt>
                <c:pt idx="4">
                  <c:v>50862000000</c:v>
                </c:pt>
                <c:pt idx="5">
                  <c:v>47545000000</c:v>
                </c:pt>
                <c:pt idx="6">
                  <c:v>47259000000</c:v>
                </c:pt>
                <c:pt idx="7">
                  <c:v>43627000000</c:v>
                </c:pt>
                <c:pt idx="8">
                  <c:v>40656000000</c:v>
                </c:pt>
                <c:pt idx="9">
                  <c:v>39041000000</c:v>
                </c:pt>
                <c:pt idx="10">
                  <c:v>36883000000</c:v>
                </c:pt>
                <c:pt idx="11">
                  <c:v>32636000000</c:v>
                </c:pt>
                <c:pt idx="12">
                  <c:v>29331000000</c:v>
                </c:pt>
                <c:pt idx="13">
                  <c:v>26746000000</c:v>
                </c:pt>
                <c:pt idx="14">
                  <c:v>24462000000</c:v>
                </c:pt>
                <c:pt idx="15">
                  <c:v>25626000000</c:v>
                </c:pt>
                <c:pt idx="16">
                  <c:v>21278000000</c:v>
                </c:pt>
                <c:pt idx="17">
                  <c:v>18963000000</c:v>
                </c:pt>
                <c:pt idx="18">
                  <c:v>16602000000</c:v>
                </c:pt>
                <c:pt idx="19">
                  <c:v>13576000000</c:v>
                </c:pt>
                <c:pt idx="20">
                  <c:v>9627000000</c:v>
                </c:pt>
                <c:pt idx="21">
                  <c:v>7289000000</c:v>
                </c:pt>
                <c:pt idx="22">
                  <c:v>4948000000</c:v>
                </c:pt>
                <c:pt idx="23">
                  <c:v>3139000000</c:v>
                </c:pt>
                <c:pt idx="2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29810952"/>
        <c:axId val="2129807992"/>
      </c:lineChart>
      <c:catAx>
        <c:axId val="212981095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9807992"/>
        <c:crosses val="autoZero"/>
        <c:auto val="1"/>
        <c:lblAlgn val="ctr"/>
        <c:lblOffset val="100"/>
        <c:noMultiLvlLbl val="0"/>
      </c:catAx>
      <c:valAx>
        <c:axId val="212980799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981095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经营活动带来的净现金流</a:t>
            </a:r>
            <a:r>
              <a:rPr lang="en-US" altLang="zh-CN"/>
              <a:t>+</a:t>
            </a:r>
            <a:r>
              <a:rPr lang="zh-CN" altLang="en-US"/>
              <a:t>普通股回购</a:t>
            </a:r>
            <a:r>
              <a:rPr lang="en-US" altLang="zh-CN"/>
              <a:t>+</a:t>
            </a:r>
            <a:r>
              <a:rPr lang="zh-CN" altLang="en-US"/>
              <a:t>股息支付</a:t>
            </a:r>
            <a:endParaRPr lang="en-US" altLang="zh-CN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MRK!$B$3:$Z$3</c:f>
              <c:strCache>
                <c:ptCount val="25"/>
                <c:pt idx="0" c:formatCode="@">
                  <c:v>2018-06</c:v>
                </c:pt>
                <c:pt idx="1" c:formatCode="@">
                  <c:v>2018-03</c:v>
                </c:pt>
                <c:pt idx="2" c:formatCode="@">
                  <c:v>2017-12</c:v>
                </c:pt>
                <c:pt idx="3" c:formatCode="@">
                  <c:v>2017-09</c:v>
                </c:pt>
                <c:pt idx="4" c:formatCode="@">
                  <c:v>2017-06</c:v>
                </c:pt>
                <c:pt idx="5" c:formatCode="@">
                  <c:v>2017-03</c:v>
                </c:pt>
                <c:pt idx="6" c:formatCode="@">
                  <c:v>2016-12</c:v>
                </c:pt>
                <c:pt idx="7" c:formatCode="@">
                  <c:v>2016-09</c:v>
                </c:pt>
                <c:pt idx="8" c:formatCode="@">
                  <c:v>2016-06</c:v>
                </c:pt>
                <c:pt idx="9" c:formatCode="@">
                  <c:v>2016-03</c:v>
                </c:pt>
                <c:pt idx="10" c:formatCode="@">
                  <c:v>2015-12</c:v>
                </c:pt>
                <c:pt idx="11" c:formatCode="@">
                  <c:v>2015-09</c:v>
                </c:pt>
                <c:pt idx="12" c:formatCode="@">
                  <c:v>2015-06</c:v>
                </c:pt>
                <c:pt idx="13" c:formatCode="@">
                  <c:v>2015-03</c:v>
                </c:pt>
                <c:pt idx="14" c:formatCode="@">
                  <c:v>2014-12</c:v>
                </c:pt>
                <c:pt idx="15" c:formatCode="@">
                  <c:v>2014-09</c:v>
                </c:pt>
                <c:pt idx="16" c:formatCode="@">
                  <c:v>2014-06</c:v>
                </c:pt>
                <c:pt idx="17" c:formatCode="@">
                  <c:v>2014-03</c:v>
                </c:pt>
                <c:pt idx="18" c:formatCode="@">
                  <c:v>2013-12</c:v>
                </c:pt>
                <c:pt idx="19" c:formatCode="@">
                  <c:v>2013-09</c:v>
                </c:pt>
                <c:pt idx="20" c:formatCode="@">
                  <c:v>2013-06</c:v>
                </c:pt>
                <c:pt idx="21" c:formatCode="@">
                  <c:v>2013-03</c:v>
                </c:pt>
                <c:pt idx="22" c:formatCode="@">
                  <c:v>2012-12</c:v>
                </c:pt>
                <c:pt idx="23" c:formatCode="@">
                  <c:v>2012-09</c:v>
                </c:pt>
                <c:pt idx="24" c:formatCode="@">
                  <c:v>2012-06</c:v>
                </c:pt>
              </c:strCache>
            </c:strRef>
          </c:cat>
          <c:val>
            <c:numRef>
              <c:f>MRK!$B$121:$Z$121</c:f>
              <c:numCache>
                <c:formatCode>#,##0.00</c:formatCode>
                <c:ptCount val="25"/>
                <c:pt idx="0">
                  <c:v>-2597000000</c:v>
                </c:pt>
                <c:pt idx="1">
                  <c:v>-3072000000</c:v>
                </c:pt>
                <c:pt idx="2">
                  <c:v>-2362000000</c:v>
                </c:pt>
                <c:pt idx="3">
                  <c:v>-3392000000</c:v>
                </c:pt>
                <c:pt idx="4">
                  <c:v>-779000000</c:v>
                </c:pt>
                <c:pt idx="5">
                  <c:v>-1655000000</c:v>
                </c:pt>
                <c:pt idx="6">
                  <c:v>372000000</c:v>
                </c:pt>
                <c:pt idx="7">
                  <c:v>-973000000</c:v>
                </c:pt>
                <c:pt idx="8">
                  <c:v>-1825000000</c:v>
                </c:pt>
                <c:pt idx="9">
                  <c:v>-1480000000</c:v>
                </c:pt>
                <c:pt idx="10">
                  <c:v>-1446000000</c:v>
                </c:pt>
                <c:pt idx="11">
                  <c:v>-3249000000</c:v>
                </c:pt>
                <c:pt idx="12">
                  <c:v>-4001000000</c:v>
                </c:pt>
                <c:pt idx="13">
                  <c:v>-4575000000</c:v>
                </c:pt>
                <c:pt idx="14">
                  <c:v>-4564000000</c:v>
                </c:pt>
                <c:pt idx="15">
                  <c:v>-444000000</c:v>
                </c:pt>
                <c:pt idx="16">
                  <c:v>-840000000</c:v>
                </c:pt>
                <c:pt idx="17">
                  <c:v>430000000</c:v>
                </c:pt>
                <c:pt idx="18">
                  <c:v>526000000</c:v>
                </c:pt>
                <c:pt idx="19">
                  <c:v>-924000000</c:v>
                </c:pt>
                <c:pt idx="20">
                  <c:v>-3399000000</c:v>
                </c:pt>
                <c:pt idx="21">
                  <c:v>1120000000</c:v>
                </c:pt>
                <c:pt idx="22">
                  <c:v>665000000</c:v>
                </c:pt>
                <c:pt idx="23">
                  <c:v>1408000000</c:v>
                </c:pt>
                <c:pt idx="2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63138232"/>
        <c:axId val="2063141224"/>
      </c:lineChart>
      <c:catAx>
        <c:axId val="206313823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63141224"/>
        <c:crosses val="autoZero"/>
        <c:auto val="1"/>
        <c:lblAlgn val="ctr"/>
        <c:lblOffset val="100"/>
        <c:noMultiLvlLbl val="0"/>
      </c:catAx>
      <c:valAx>
        <c:axId val="2063141224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6313823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累计投资支出</a:t>
            </a:r>
            <a:endParaRPr lang="en-US" altLang="zh-CN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MRK!$B$3:$Z$3</c:f>
              <c:strCache>
                <c:ptCount val="25"/>
                <c:pt idx="0" c:formatCode="@">
                  <c:v>2018-06</c:v>
                </c:pt>
                <c:pt idx="1" c:formatCode="@">
                  <c:v>2018-03</c:v>
                </c:pt>
                <c:pt idx="2" c:formatCode="@">
                  <c:v>2017-12</c:v>
                </c:pt>
                <c:pt idx="3" c:formatCode="@">
                  <c:v>2017-09</c:v>
                </c:pt>
                <c:pt idx="4" c:formatCode="@">
                  <c:v>2017-06</c:v>
                </c:pt>
                <c:pt idx="5" c:formatCode="@">
                  <c:v>2017-03</c:v>
                </c:pt>
                <c:pt idx="6" c:formatCode="@">
                  <c:v>2016-12</c:v>
                </c:pt>
                <c:pt idx="7" c:formatCode="@">
                  <c:v>2016-09</c:v>
                </c:pt>
                <c:pt idx="8" c:formatCode="@">
                  <c:v>2016-06</c:v>
                </c:pt>
                <c:pt idx="9" c:formatCode="@">
                  <c:v>2016-03</c:v>
                </c:pt>
                <c:pt idx="10" c:formatCode="@">
                  <c:v>2015-12</c:v>
                </c:pt>
                <c:pt idx="11" c:formatCode="@">
                  <c:v>2015-09</c:v>
                </c:pt>
                <c:pt idx="12" c:formatCode="@">
                  <c:v>2015-06</c:v>
                </c:pt>
                <c:pt idx="13" c:formatCode="@">
                  <c:v>2015-03</c:v>
                </c:pt>
                <c:pt idx="14" c:formatCode="@">
                  <c:v>2014-12</c:v>
                </c:pt>
                <c:pt idx="15" c:formatCode="@">
                  <c:v>2014-09</c:v>
                </c:pt>
                <c:pt idx="16" c:formatCode="@">
                  <c:v>2014-06</c:v>
                </c:pt>
                <c:pt idx="17" c:formatCode="@">
                  <c:v>2014-03</c:v>
                </c:pt>
                <c:pt idx="18" c:formatCode="@">
                  <c:v>2013-12</c:v>
                </c:pt>
                <c:pt idx="19" c:formatCode="@">
                  <c:v>2013-09</c:v>
                </c:pt>
                <c:pt idx="20" c:formatCode="@">
                  <c:v>2013-06</c:v>
                </c:pt>
                <c:pt idx="21" c:formatCode="@">
                  <c:v>2013-03</c:v>
                </c:pt>
                <c:pt idx="22" c:formatCode="@">
                  <c:v>2012-12</c:v>
                </c:pt>
                <c:pt idx="23" c:formatCode="@">
                  <c:v>2012-09</c:v>
                </c:pt>
                <c:pt idx="24" c:formatCode="@">
                  <c:v>2012-06</c:v>
                </c:pt>
              </c:strCache>
            </c:strRef>
          </c:cat>
          <c:val>
            <c:numRef>
              <c:f>MRK!$B$104:$Z$104</c:f>
              <c:numCache>
                <c:formatCode>#,##0.00</c:formatCode>
                <c:ptCount val="25"/>
                <c:pt idx="0">
                  <c:v>-14572000000</c:v>
                </c:pt>
                <c:pt idx="1">
                  <c:v>-15245000000</c:v>
                </c:pt>
                <c:pt idx="2">
                  <c:v>-15048000000</c:v>
                </c:pt>
                <c:pt idx="3">
                  <c:v>-14990000000</c:v>
                </c:pt>
                <c:pt idx="4">
                  <c:v>-15661000000</c:v>
                </c:pt>
                <c:pt idx="5">
                  <c:v>-14534000000</c:v>
                </c:pt>
                <c:pt idx="6">
                  <c:v>-17727000000</c:v>
                </c:pt>
                <c:pt idx="7">
                  <c:v>-15164000000</c:v>
                </c:pt>
                <c:pt idx="8">
                  <c:v>-14274000000</c:v>
                </c:pt>
                <c:pt idx="9">
                  <c:v>-12776000000</c:v>
                </c:pt>
                <c:pt idx="10">
                  <c:v>-14517000000</c:v>
                </c:pt>
                <c:pt idx="11">
                  <c:v>-13900000000</c:v>
                </c:pt>
                <c:pt idx="12">
                  <c:v>-13839000000</c:v>
                </c:pt>
                <c:pt idx="13">
                  <c:v>-16364000000</c:v>
                </c:pt>
                <c:pt idx="14">
                  <c:v>-9759000000</c:v>
                </c:pt>
                <c:pt idx="15">
                  <c:v>-16963000000</c:v>
                </c:pt>
                <c:pt idx="16">
                  <c:v>-13241000000</c:v>
                </c:pt>
                <c:pt idx="17">
                  <c:v>-13192000000</c:v>
                </c:pt>
                <c:pt idx="18">
                  <c:v>-9385000000</c:v>
                </c:pt>
                <c:pt idx="19">
                  <c:v>-10562000000</c:v>
                </c:pt>
                <c:pt idx="20">
                  <c:v>-8525000000</c:v>
                </c:pt>
                <c:pt idx="21">
                  <c:v>-7390000000</c:v>
                </c:pt>
                <c:pt idx="22">
                  <c:v>-6237000000</c:v>
                </c:pt>
                <c:pt idx="23">
                  <c:v>-1839000000</c:v>
                </c:pt>
                <c:pt idx="2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63174936"/>
        <c:axId val="2063177880"/>
      </c:lineChart>
      <c:catAx>
        <c:axId val="206317493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63177880"/>
        <c:crosses val="autoZero"/>
        <c:auto val="1"/>
        <c:lblAlgn val="ctr"/>
        <c:lblOffset val="100"/>
        <c:noMultiLvlLbl val="0"/>
      </c:catAx>
      <c:valAx>
        <c:axId val="2063177880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6317493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累计投资支出</a:t>
            </a:r>
            <a:r>
              <a:rPr lang="en-US" altLang="zh-CN"/>
              <a:t>+</a:t>
            </a:r>
            <a:r>
              <a:rPr lang="zh-CN" altLang="en-US"/>
              <a:t>长期资产总额</a:t>
            </a:r>
            <a:endParaRPr lang="en-US" altLang="zh-CN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MRK!$B$3:$Z$3</c:f>
              <c:strCache>
                <c:ptCount val="25"/>
                <c:pt idx="0" c:formatCode="@">
                  <c:v>2018-06</c:v>
                </c:pt>
                <c:pt idx="1" c:formatCode="@">
                  <c:v>2018-03</c:v>
                </c:pt>
                <c:pt idx="2" c:formatCode="@">
                  <c:v>2017-12</c:v>
                </c:pt>
                <c:pt idx="3" c:formatCode="@">
                  <c:v>2017-09</c:v>
                </c:pt>
                <c:pt idx="4" c:formatCode="@">
                  <c:v>2017-06</c:v>
                </c:pt>
                <c:pt idx="5" c:formatCode="@">
                  <c:v>2017-03</c:v>
                </c:pt>
                <c:pt idx="6" c:formatCode="@">
                  <c:v>2016-12</c:v>
                </c:pt>
                <c:pt idx="7" c:formatCode="@">
                  <c:v>2016-09</c:v>
                </c:pt>
                <c:pt idx="8" c:formatCode="@">
                  <c:v>2016-06</c:v>
                </c:pt>
                <c:pt idx="9" c:formatCode="@">
                  <c:v>2016-03</c:v>
                </c:pt>
                <c:pt idx="10" c:formatCode="@">
                  <c:v>2015-12</c:v>
                </c:pt>
                <c:pt idx="11" c:formatCode="@">
                  <c:v>2015-09</c:v>
                </c:pt>
                <c:pt idx="12" c:formatCode="@">
                  <c:v>2015-06</c:v>
                </c:pt>
                <c:pt idx="13" c:formatCode="@">
                  <c:v>2015-03</c:v>
                </c:pt>
                <c:pt idx="14" c:formatCode="@">
                  <c:v>2014-12</c:v>
                </c:pt>
                <c:pt idx="15" c:formatCode="@">
                  <c:v>2014-09</c:v>
                </c:pt>
                <c:pt idx="16" c:formatCode="@">
                  <c:v>2014-06</c:v>
                </c:pt>
                <c:pt idx="17" c:formatCode="@">
                  <c:v>2014-03</c:v>
                </c:pt>
                <c:pt idx="18" c:formatCode="@">
                  <c:v>2013-12</c:v>
                </c:pt>
                <c:pt idx="19" c:formatCode="@">
                  <c:v>2013-09</c:v>
                </c:pt>
                <c:pt idx="20" c:formatCode="@">
                  <c:v>2013-06</c:v>
                </c:pt>
                <c:pt idx="21" c:formatCode="@">
                  <c:v>2013-03</c:v>
                </c:pt>
                <c:pt idx="22" c:formatCode="@">
                  <c:v>2012-12</c:v>
                </c:pt>
                <c:pt idx="23" c:formatCode="@">
                  <c:v>2012-09</c:v>
                </c:pt>
                <c:pt idx="24" c:formatCode="@">
                  <c:v>2012-06</c:v>
                </c:pt>
              </c:strCache>
            </c:strRef>
          </c:cat>
          <c:val>
            <c:numRef>
              <c:f>MRK!$B$105:$Z$105</c:f>
              <c:numCache>
                <c:formatCode>#,##0.00</c:formatCode>
                <c:ptCount val="25"/>
                <c:pt idx="0">
                  <c:v>46404000000</c:v>
                </c:pt>
                <c:pt idx="1">
                  <c:v>46711000000</c:v>
                </c:pt>
                <c:pt idx="2">
                  <c:v>48058000000</c:v>
                </c:pt>
                <c:pt idx="3">
                  <c:v>48767000000</c:v>
                </c:pt>
                <c:pt idx="4">
                  <c:v>48976000000</c:v>
                </c:pt>
                <c:pt idx="5">
                  <c:v>50497000000</c:v>
                </c:pt>
                <c:pt idx="6">
                  <c:v>47036000000</c:v>
                </c:pt>
                <c:pt idx="7">
                  <c:v>53731000000</c:v>
                </c:pt>
                <c:pt idx="8">
                  <c:v>54275000000</c:v>
                </c:pt>
                <c:pt idx="9">
                  <c:v>57207000000</c:v>
                </c:pt>
                <c:pt idx="10">
                  <c:v>57498000000</c:v>
                </c:pt>
                <c:pt idx="11">
                  <c:v>58765000000</c:v>
                </c:pt>
                <c:pt idx="12">
                  <c:v>60424000000</c:v>
                </c:pt>
                <c:pt idx="13">
                  <c:v>59054000000</c:v>
                </c:pt>
                <c:pt idx="14">
                  <c:v>55403000000</c:v>
                </c:pt>
                <c:pt idx="15">
                  <c:v>50122000000</c:v>
                </c:pt>
                <c:pt idx="16">
                  <c:v>51032000000</c:v>
                </c:pt>
                <c:pt idx="17">
                  <c:v>54028000000</c:v>
                </c:pt>
                <c:pt idx="18">
                  <c:v>60575000000</c:v>
                </c:pt>
                <c:pt idx="19">
                  <c:v>58092000000</c:v>
                </c:pt>
                <c:pt idx="20">
                  <c:v>61356000000</c:v>
                </c:pt>
                <c:pt idx="21">
                  <c:v>63566000000</c:v>
                </c:pt>
                <c:pt idx="22">
                  <c:v>65038000000</c:v>
                </c:pt>
                <c:pt idx="23">
                  <c:v>68233000000</c:v>
                </c:pt>
                <c:pt idx="2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39481976"/>
        <c:axId val="2129620520"/>
      </c:lineChart>
      <c:catAx>
        <c:axId val="213948197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9620520"/>
        <c:crosses val="autoZero"/>
        <c:auto val="1"/>
        <c:lblAlgn val="ctr"/>
        <c:lblOffset val="100"/>
        <c:noMultiLvlLbl val="0"/>
      </c:catAx>
      <c:valAx>
        <c:axId val="2129620520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94819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开发费用</a:t>
            </a:r>
            <a:r>
              <a:rPr lang="en-US" altLang="zh-CN"/>
              <a:t>/</a:t>
            </a:r>
            <a:r>
              <a:rPr lang="zh-CN" altLang="en-US"/>
              <a:t>销售管理行政费用</a:t>
            </a:r>
            <a:endParaRPr lang="en-US" altLang="zh-CN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MRK!$B$3:$Z$3</c:f>
              <c:strCache>
                <c:ptCount val="25"/>
                <c:pt idx="0" c:formatCode="@">
                  <c:v>2018-06</c:v>
                </c:pt>
                <c:pt idx="1" c:formatCode="@">
                  <c:v>2018-03</c:v>
                </c:pt>
                <c:pt idx="2" c:formatCode="@">
                  <c:v>2017-12</c:v>
                </c:pt>
                <c:pt idx="3" c:formatCode="@">
                  <c:v>2017-09</c:v>
                </c:pt>
                <c:pt idx="4" c:formatCode="@">
                  <c:v>2017-06</c:v>
                </c:pt>
                <c:pt idx="5" c:formatCode="@">
                  <c:v>2017-03</c:v>
                </c:pt>
                <c:pt idx="6" c:formatCode="@">
                  <c:v>2016-12</c:v>
                </c:pt>
                <c:pt idx="7" c:formatCode="@">
                  <c:v>2016-09</c:v>
                </c:pt>
                <c:pt idx="8" c:formatCode="@">
                  <c:v>2016-06</c:v>
                </c:pt>
                <c:pt idx="9" c:formatCode="@">
                  <c:v>2016-03</c:v>
                </c:pt>
                <c:pt idx="10" c:formatCode="@">
                  <c:v>2015-12</c:v>
                </c:pt>
                <c:pt idx="11" c:formatCode="@">
                  <c:v>2015-09</c:v>
                </c:pt>
                <c:pt idx="12" c:formatCode="@">
                  <c:v>2015-06</c:v>
                </c:pt>
                <c:pt idx="13" c:formatCode="@">
                  <c:v>2015-03</c:v>
                </c:pt>
                <c:pt idx="14" c:formatCode="@">
                  <c:v>2014-12</c:v>
                </c:pt>
                <c:pt idx="15" c:formatCode="@">
                  <c:v>2014-09</c:v>
                </c:pt>
                <c:pt idx="16" c:formatCode="@">
                  <c:v>2014-06</c:v>
                </c:pt>
                <c:pt idx="17" c:formatCode="@">
                  <c:v>2014-03</c:v>
                </c:pt>
                <c:pt idx="18" c:formatCode="@">
                  <c:v>2013-12</c:v>
                </c:pt>
                <c:pt idx="19" c:formatCode="@">
                  <c:v>2013-09</c:v>
                </c:pt>
                <c:pt idx="20" c:formatCode="@">
                  <c:v>2013-06</c:v>
                </c:pt>
                <c:pt idx="21" c:formatCode="@">
                  <c:v>2013-03</c:v>
                </c:pt>
                <c:pt idx="22" c:formatCode="@">
                  <c:v>2012-12</c:v>
                </c:pt>
                <c:pt idx="23" c:formatCode="@">
                  <c:v>2012-09</c:v>
                </c:pt>
                <c:pt idx="24" c:formatCode="@">
                  <c:v>2012-06</c:v>
                </c:pt>
              </c:strCache>
            </c:strRef>
          </c:cat>
          <c:val>
            <c:numRef>
              <c:f>MRK!$B$146:$Z$146</c:f>
              <c:numCache>
                <c:formatCode>#,##0.00</c:formatCode>
                <c:ptCount val="25"/>
                <c:pt idx="0">
                  <c:v>0.956265769554247</c:v>
                </c:pt>
                <c:pt idx="1">
                  <c:v>1.34681837336705</c:v>
                </c:pt>
                <c:pt idx="2">
                  <c:v>0.884451337727801</c:v>
                </c:pt>
                <c:pt idx="3">
                  <c:v>1.82548937942524</c:v>
                </c:pt>
                <c:pt idx="4">
                  <c:v>0.717391304347826</c:v>
                </c:pt>
                <c:pt idx="5">
                  <c:v>0.744919120696806</c:v>
                </c:pt>
                <c:pt idx="6">
                  <c:v>1.79290397223293</c:v>
                </c:pt>
                <c:pt idx="7">
                  <c:v>0.695361470956958</c:v>
                </c:pt>
                <c:pt idx="8">
                  <c:v>0.875101708706265</c:v>
                </c:pt>
                <c:pt idx="9">
                  <c:v>0.715703192407248</c:v>
                </c:pt>
                <c:pt idx="10">
                  <c:v>0.687571701720841</c:v>
                </c:pt>
                <c:pt idx="11">
                  <c:v>0.606796116504854</c:v>
                </c:pt>
                <c:pt idx="12">
                  <c:v>0.636432926829268</c:v>
                </c:pt>
                <c:pt idx="13">
                  <c:v>0.667820069204152</c:v>
                </c:pt>
                <c:pt idx="14">
                  <c:v>0.780512820512821</c:v>
                </c:pt>
                <c:pt idx="15">
                  <c:v>0.557647058823529</c:v>
                </c:pt>
                <c:pt idx="16">
                  <c:v>0.559704002690885</c:v>
                </c:pt>
                <c:pt idx="17">
                  <c:v>0.575713240673007</c:v>
                </c:pt>
                <c:pt idx="18">
                  <c:v>0.615358819584172</c:v>
                </c:pt>
                <c:pt idx="19">
                  <c:v>0.592222618622904</c:v>
                </c:pt>
                <c:pt idx="20">
                  <c:v>0.669108280254777</c:v>
                </c:pt>
                <c:pt idx="21">
                  <c:v>0.638433210579176</c:v>
                </c:pt>
                <c:pt idx="22">
                  <c:v>0.656047197640118</c:v>
                </c:pt>
                <c:pt idx="23">
                  <c:v>0.626183480248123</c:v>
                </c:pt>
                <c:pt idx="2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39517960"/>
        <c:axId val="2139520904"/>
      </c:lineChart>
      <c:catAx>
        <c:axId val="213951796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9520904"/>
        <c:crosses val="autoZero"/>
        <c:auto val="1"/>
        <c:lblAlgn val="ctr"/>
        <c:lblOffset val="100"/>
        <c:noMultiLvlLbl val="0"/>
      </c:catAx>
      <c:valAx>
        <c:axId val="2139520904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951796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开发费用</a:t>
            </a:r>
            <a:endParaRPr lang="en-US" altLang="zh-CN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strRef>
              <c:f>MRK!$B$3:$Z$3</c:f>
              <c:strCache>
                <c:ptCount val="25"/>
                <c:pt idx="0" c:formatCode="@">
                  <c:v>2018-06</c:v>
                </c:pt>
                <c:pt idx="1" c:formatCode="@">
                  <c:v>2018-03</c:v>
                </c:pt>
                <c:pt idx="2" c:formatCode="@">
                  <c:v>2017-12</c:v>
                </c:pt>
                <c:pt idx="3" c:formatCode="@">
                  <c:v>2017-09</c:v>
                </c:pt>
                <c:pt idx="4" c:formatCode="@">
                  <c:v>2017-06</c:v>
                </c:pt>
                <c:pt idx="5" c:formatCode="@">
                  <c:v>2017-03</c:v>
                </c:pt>
                <c:pt idx="6" c:formatCode="@">
                  <c:v>2016-12</c:v>
                </c:pt>
                <c:pt idx="7" c:formatCode="@">
                  <c:v>2016-09</c:v>
                </c:pt>
                <c:pt idx="8" c:formatCode="@">
                  <c:v>2016-06</c:v>
                </c:pt>
                <c:pt idx="9" c:formatCode="@">
                  <c:v>2016-03</c:v>
                </c:pt>
                <c:pt idx="10" c:formatCode="@">
                  <c:v>2015-12</c:v>
                </c:pt>
                <c:pt idx="11" c:formatCode="@">
                  <c:v>2015-09</c:v>
                </c:pt>
                <c:pt idx="12" c:formatCode="@">
                  <c:v>2015-06</c:v>
                </c:pt>
                <c:pt idx="13" c:formatCode="@">
                  <c:v>2015-03</c:v>
                </c:pt>
                <c:pt idx="14" c:formatCode="@">
                  <c:v>2014-12</c:v>
                </c:pt>
                <c:pt idx="15" c:formatCode="@">
                  <c:v>2014-09</c:v>
                </c:pt>
                <c:pt idx="16" c:formatCode="@">
                  <c:v>2014-06</c:v>
                </c:pt>
                <c:pt idx="17" c:formatCode="@">
                  <c:v>2014-03</c:v>
                </c:pt>
                <c:pt idx="18" c:formatCode="@">
                  <c:v>2013-12</c:v>
                </c:pt>
                <c:pt idx="19" c:formatCode="@">
                  <c:v>2013-09</c:v>
                </c:pt>
                <c:pt idx="20" c:formatCode="@">
                  <c:v>2013-06</c:v>
                </c:pt>
                <c:pt idx="21" c:formatCode="@">
                  <c:v>2013-03</c:v>
                </c:pt>
                <c:pt idx="22" c:formatCode="@">
                  <c:v>2012-12</c:v>
                </c:pt>
                <c:pt idx="23" c:formatCode="@">
                  <c:v>2012-09</c:v>
                </c:pt>
                <c:pt idx="24" c:formatCode="@">
                  <c:v>2012-06</c:v>
                </c:pt>
              </c:strCache>
            </c:strRef>
          </c:cat>
          <c:val>
            <c:numRef>
              <c:f>MRK!$B$144:$Z$144</c:f>
              <c:numCache>
                <c:formatCode>#,##0.00</c:formatCode>
                <c:ptCount val="25"/>
                <c:pt idx="0">
                  <c:v>2274000000</c:v>
                </c:pt>
                <c:pt idx="1">
                  <c:v>3196000000</c:v>
                </c:pt>
                <c:pt idx="2">
                  <c:v>2281000000</c:v>
                </c:pt>
                <c:pt idx="3">
                  <c:v>4383000000</c:v>
                </c:pt>
                <c:pt idx="4">
                  <c:v>1749000000</c:v>
                </c:pt>
                <c:pt idx="5">
                  <c:v>1796000000</c:v>
                </c:pt>
                <c:pt idx="6">
                  <c:v>4649000000</c:v>
                </c:pt>
                <c:pt idx="7">
                  <c:v>1664000000</c:v>
                </c:pt>
                <c:pt idx="8">
                  <c:v>2151000000</c:v>
                </c:pt>
                <c:pt idx="9">
                  <c:v>1659000000</c:v>
                </c:pt>
                <c:pt idx="10">
                  <c:v>1798000000</c:v>
                </c:pt>
                <c:pt idx="11">
                  <c:v>1500000000</c:v>
                </c:pt>
                <c:pt idx="12">
                  <c:v>1670000000</c:v>
                </c:pt>
                <c:pt idx="13">
                  <c:v>1737000000</c:v>
                </c:pt>
                <c:pt idx="14">
                  <c:v>2283000000</c:v>
                </c:pt>
                <c:pt idx="15">
                  <c:v>1659000000</c:v>
                </c:pt>
                <c:pt idx="16">
                  <c:v>1664000000</c:v>
                </c:pt>
                <c:pt idx="17">
                  <c:v>1574000000</c:v>
                </c:pt>
                <c:pt idx="18">
                  <c:v>1835000000</c:v>
                </c:pt>
                <c:pt idx="19">
                  <c:v>1660000000</c:v>
                </c:pt>
                <c:pt idx="20">
                  <c:v>2101000000</c:v>
                </c:pt>
                <c:pt idx="21">
                  <c:v>1907000000</c:v>
                </c:pt>
                <c:pt idx="22">
                  <c:v>2224000000</c:v>
                </c:pt>
                <c:pt idx="23">
                  <c:v>1918000000</c:v>
                </c:pt>
                <c:pt idx="2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39547608"/>
        <c:axId val="2139550552"/>
      </c:lineChart>
      <c:catAx>
        <c:axId val="213954760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9550552"/>
        <c:crosses val="autoZero"/>
        <c:auto val="1"/>
        <c:lblAlgn val="ctr"/>
        <c:lblOffset val="100"/>
        <c:noMultiLvlLbl val="0"/>
      </c:catAx>
      <c:valAx>
        <c:axId val="213955055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3954760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254000</xdr:colOff>
      <xdr:row>1</xdr:row>
      <xdr:rowOff>76200</xdr:rowOff>
    </xdr:from>
    <xdr:to>
      <xdr:col>5</xdr:col>
      <xdr:colOff>698500</xdr:colOff>
      <xdr:row>20</xdr:row>
      <xdr:rowOff>50800</xdr:rowOff>
    </xdr:to>
    <xdr:graphicFrame>
      <xdr:nvGraphicFramePr>
        <xdr:cNvPr id="2" name="图表 1"/>
        <xdr:cNvGraphicFramePr/>
      </xdr:nvGraphicFramePr>
      <xdr:xfrm>
        <a:off x="254000" y="254000"/>
        <a:ext cx="4572000" cy="33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647700</xdr:colOff>
      <xdr:row>1</xdr:row>
      <xdr:rowOff>63500</xdr:rowOff>
    </xdr:from>
    <xdr:to>
      <xdr:col>13</xdr:col>
      <xdr:colOff>266700</xdr:colOff>
      <xdr:row>20</xdr:row>
      <xdr:rowOff>38100</xdr:rowOff>
    </xdr:to>
    <xdr:graphicFrame>
      <xdr:nvGraphicFramePr>
        <xdr:cNvPr id="3" name="图表 2"/>
        <xdr:cNvGraphicFramePr/>
      </xdr:nvGraphicFramePr>
      <xdr:xfrm>
        <a:off x="6426200" y="241300"/>
        <a:ext cx="4572000" cy="33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279400</xdr:colOff>
      <xdr:row>22</xdr:row>
      <xdr:rowOff>152400</xdr:rowOff>
    </xdr:from>
    <xdr:to>
      <xdr:col>5</xdr:col>
      <xdr:colOff>723900</xdr:colOff>
      <xdr:row>41</xdr:row>
      <xdr:rowOff>127000</xdr:rowOff>
    </xdr:to>
    <xdr:graphicFrame>
      <xdr:nvGraphicFramePr>
        <xdr:cNvPr id="4" name="图表 3"/>
        <xdr:cNvGraphicFramePr/>
      </xdr:nvGraphicFramePr>
      <xdr:xfrm>
        <a:off x="279400" y="4064000"/>
        <a:ext cx="4572000" cy="33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368300</xdr:colOff>
      <xdr:row>23</xdr:row>
      <xdr:rowOff>12700</xdr:rowOff>
    </xdr:from>
    <xdr:to>
      <xdr:col>11</xdr:col>
      <xdr:colOff>812800</xdr:colOff>
      <xdr:row>41</xdr:row>
      <xdr:rowOff>152400</xdr:rowOff>
    </xdr:to>
    <xdr:graphicFrame>
      <xdr:nvGraphicFramePr>
        <xdr:cNvPr id="5" name="图表 4"/>
        <xdr:cNvGraphicFramePr/>
      </xdr:nvGraphicFramePr>
      <xdr:xfrm>
        <a:off x="5321300" y="4102100"/>
        <a:ext cx="4572000" cy="334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317500</xdr:colOff>
      <xdr:row>44</xdr:row>
      <xdr:rowOff>114300</xdr:rowOff>
    </xdr:from>
    <xdr:to>
      <xdr:col>5</xdr:col>
      <xdr:colOff>762000</xdr:colOff>
      <xdr:row>63</xdr:row>
      <xdr:rowOff>88900</xdr:rowOff>
    </xdr:to>
    <xdr:graphicFrame>
      <xdr:nvGraphicFramePr>
        <xdr:cNvPr id="6" name="图表 5"/>
        <xdr:cNvGraphicFramePr/>
      </xdr:nvGraphicFramePr>
      <xdr:xfrm>
        <a:off x="317500" y="7937500"/>
        <a:ext cx="4572000" cy="33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355600</xdr:colOff>
      <xdr:row>66</xdr:row>
      <xdr:rowOff>38100</xdr:rowOff>
    </xdr:from>
    <xdr:to>
      <xdr:col>5</xdr:col>
      <xdr:colOff>800100</xdr:colOff>
      <xdr:row>85</xdr:row>
      <xdr:rowOff>12700</xdr:rowOff>
    </xdr:to>
    <xdr:graphicFrame>
      <xdr:nvGraphicFramePr>
        <xdr:cNvPr id="7" name="图表 6"/>
        <xdr:cNvGraphicFramePr/>
      </xdr:nvGraphicFramePr>
      <xdr:xfrm>
        <a:off x="355600" y="11772900"/>
        <a:ext cx="4572000" cy="33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558800</xdr:colOff>
      <xdr:row>66</xdr:row>
      <xdr:rowOff>38100</xdr:rowOff>
    </xdr:from>
    <xdr:to>
      <xdr:col>12</xdr:col>
      <xdr:colOff>177800</xdr:colOff>
      <xdr:row>85</xdr:row>
      <xdr:rowOff>12700</xdr:rowOff>
    </xdr:to>
    <xdr:graphicFrame>
      <xdr:nvGraphicFramePr>
        <xdr:cNvPr id="9" name="图表 8"/>
        <xdr:cNvGraphicFramePr/>
      </xdr:nvGraphicFramePr>
      <xdr:xfrm>
        <a:off x="5511800" y="11772900"/>
        <a:ext cx="4572000" cy="33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457200</xdr:colOff>
      <xdr:row>66</xdr:row>
      <xdr:rowOff>50800</xdr:rowOff>
    </xdr:from>
    <xdr:to>
      <xdr:col>18</xdr:col>
      <xdr:colOff>76200</xdr:colOff>
      <xdr:row>85</xdr:row>
      <xdr:rowOff>25400</xdr:rowOff>
    </xdr:to>
    <xdr:graphicFrame>
      <xdr:nvGraphicFramePr>
        <xdr:cNvPr id="10" name="图表 9"/>
        <xdr:cNvGraphicFramePr/>
      </xdr:nvGraphicFramePr>
      <xdr:xfrm>
        <a:off x="10363200" y="11785600"/>
        <a:ext cx="4572000" cy="33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393700</xdr:colOff>
      <xdr:row>91</xdr:row>
      <xdr:rowOff>25400</xdr:rowOff>
    </xdr:from>
    <xdr:to>
      <xdr:col>6</xdr:col>
      <xdr:colOff>12700</xdr:colOff>
      <xdr:row>110</xdr:row>
      <xdr:rowOff>0</xdr:rowOff>
    </xdr:to>
    <xdr:graphicFrame>
      <xdr:nvGraphicFramePr>
        <xdr:cNvPr id="11" name="图表 10"/>
        <xdr:cNvGraphicFramePr/>
      </xdr:nvGraphicFramePr>
      <xdr:xfrm>
        <a:off x="393700" y="16205200"/>
        <a:ext cx="4572000" cy="33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508000</xdr:colOff>
      <xdr:row>91</xdr:row>
      <xdr:rowOff>12700</xdr:rowOff>
    </xdr:from>
    <xdr:to>
      <xdr:col>12</xdr:col>
      <xdr:colOff>127000</xdr:colOff>
      <xdr:row>109</xdr:row>
      <xdr:rowOff>152400</xdr:rowOff>
    </xdr:to>
    <xdr:graphicFrame>
      <xdr:nvGraphicFramePr>
        <xdr:cNvPr id="12" name="图表 11"/>
        <xdr:cNvGraphicFramePr/>
      </xdr:nvGraphicFramePr>
      <xdr:xfrm>
        <a:off x="5461000" y="16192500"/>
        <a:ext cx="4572000" cy="334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419100</xdr:colOff>
      <xdr:row>113</xdr:row>
      <xdr:rowOff>127000</xdr:rowOff>
    </xdr:from>
    <xdr:to>
      <xdr:col>6</xdr:col>
      <xdr:colOff>38100</xdr:colOff>
      <xdr:row>132</xdr:row>
      <xdr:rowOff>101600</xdr:rowOff>
    </xdr:to>
    <xdr:graphicFrame>
      <xdr:nvGraphicFramePr>
        <xdr:cNvPr id="13" name="图表 12"/>
        <xdr:cNvGraphicFramePr/>
      </xdr:nvGraphicFramePr>
      <xdr:xfrm>
        <a:off x="419100" y="20218400"/>
        <a:ext cx="4572000" cy="33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698500</xdr:colOff>
      <xdr:row>114</xdr:row>
      <xdr:rowOff>12700</xdr:rowOff>
    </xdr:from>
    <xdr:to>
      <xdr:col>12</xdr:col>
      <xdr:colOff>317500</xdr:colOff>
      <xdr:row>132</xdr:row>
      <xdr:rowOff>152400</xdr:rowOff>
    </xdr:to>
    <xdr:graphicFrame>
      <xdr:nvGraphicFramePr>
        <xdr:cNvPr id="14" name="图表 13"/>
        <xdr:cNvGraphicFramePr/>
      </xdr:nvGraphicFramePr>
      <xdr:xfrm>
        <a:off x="5651500" y="20281900"/>
        <a:ext cx="4572000" cy="334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IV173"/>
  <sheetViews>
    <sheetView showGridLines="0" tabSelected="1" workbookViewId="0">
      <pane xSplit="1" ySplit="3" topLeftCell="B143" activePane="bottomRight" state="frozen"/>
      <selection/>
      <selection pane="topRight"/>
      <selection pane="bottomLeft"/>
      <selection pane="bottomRight" activeCell="D149" sqref="D149"/>
    </sheetView>
  </sheetViews>
  <sheetFormatPr defaultColWidth="8.33333333333333" defaultRowHeight="20" customHeight="1"/>
  <cols>
    <col min="1" max="1" width="23.1666666666667" style="4" customWidth="1"/>
    <col min="2" max="26" width="16.3333333333333" style="4" customWidth="1"/>
    <col min="27" max="256" width="8.33333333333333" style="4" customWidth="1"/>
  </cols>
  <sheetData>
    <row r="1" ht="27.75" customHeight="1" spans="1:2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1" customHeight="1" spans="1:26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18"/>
      <c r="Y2" s="18"/>
      <c r="Z2" s="18"/>
    </row>
    <row r="3" ht="20.25" customHeight="1" spans="1:26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18</v>
      </c>
      <c r="R3" s="10" t="s">
        <v>19</v>
      </c>
      <c r="S3" s="10" t="s">
        <v>20</v>
      </c>
      <c r="T3" s="10" t="s">
        <v>21</v>
      </c>
      <c r="U3" s="10" t="s">
        <v>22</v>
      </c>
      <c r="V3" s="10" t="s">
        <v>23</v>
      </c>
      <c r="W3" s="10" t="s">
        <v>24</v>
      </c>
      <c r="X3" s="10" t="s">
        <v>25</v>
      </c>
      <c r="Y3" s="10" t="s">
        <v>26</v>
      </c>
      <c r="Z3" s="10" t="s">
        <v>27</v>
      </c>
    </row>
    <row r="4" customHeight="1" spans="1:26">
      <c r="A4" s="11" t="s">
        <v>28</v>
      </c>
      <c r="B4" s="12">
        <v>85040000000</v>
      </c>
      <c r="C4" s="13">
        <v>86041000000</v>
      </c>
      <c r="D4" s="13">
        <v>87872000000</v>
      </c>
      <c r="E4" s="13">
        <v>91676000000</v>
      </c>
      <c r="F4" s="13">
        <v>92804000000</v>
      </c>
      <c r="G4" s="13">
        <v>96561000000</v>
      </c>
      <c r="H4" s="13">
        <v>95377000000</v>
      </c>
      <c r="I4" s="13">
        <v>98335000000</v>
      </c>
      <c r="J4" s="13">
        <v>96475000000</v>
      </c>
      <c r="K4" s="13">
        <v>98755000000</v>
      </c>
      <c r="L4" s="13">
        <v>101779000000</v>
      </c>
      <c r="M4" s="13">
        <v>101232000000</v>
      </c>
      <c r="N4" s="13">
        <v>102582000000</v>
      </c>
      <c r="O4" s="13">
        <v>108345000000</v>
      </c>
      <c r="P4" s="13">
        <v>98335000000</v>
      </c>
      <c r="Q4" s="13">
        <v>101808000000</v>
      </c>
      <c r="R4" s="13">
        <v>97860000000</v>
      </c>
      <c r="S4" s="13">
        <v>108460000000</v>
      </c>
      <c r="T4" s="13">
        <v>105645000000</v>
      </c>
      <c r="U4" s="13">
        <v>106419000000</v>
      </c>
      <c r="V4" s="13">
        <v>106876000000</v>
      </c>
      <c r="W4" s="13">
        <v>106200000000</v>
      </c>
      <c r="X4" s="13">
        <v>106132000000</v>
      </c>
      <c r="Y4" s="13">
        <v>106301000000</v>
      </c>
      <c r="Z4" s="13">
        <v>105525000000</v>
      </c>
    </row>
    <row r="5" customHeight="1" spans="1:26">
      <c r="A5" s="14" t="s">
        <v>29</v>
      </c>
      <c r="B5" s="15">
        <v>24064000000</v>
      </c>
      <c r="C5" s="16">
        <v>24085000000</v>
      </c>
      <c r="D5" s="16">
        <v>24766000000</v>
      </c>
      <c r="E5" s="16">
        <v>27919000000</v>
      </c>
      <c r="F5" s="16">
        <v>28167000000</v>
      </c>
      <c r="G5" s="16">
        <v>31530000000</v>
      </c>
      <c r="H5" s="16">
        <v>30614000000</v>
      </c>
      <c r="I5" s="16">
        <v>29440000000</v>
      </c>
      <c r="J5" s="16">
        <v>27926000000</v>
      </c>
      <c r="K5" s="16">
        <v>28772000000</v>
      </c>
      <c r="L5" s="16">
        <v>29764000000</v>
      </c>
      <c r="M5" s="16">
        <v>28567000000</v>
      </c>
      <c r="N5" s="16">
        <v>28319000000</v>
      </c>
      <c r="O5" s="16">
        <v>32927000000</v>
      </c>
      <c r="P5" s="16">
        <v>33173000000</v>
      </c>
      <c r="Q5" s="16">
        <v>34723000000</v>
      </c>
      <c r="R5" s="16">
        <v>33587000000</v>
      </c>
      <c r="S5" s="16">
        <v>41240000000</v>
      </c>
      <c r="T5" s="16">
        <v>35685000000</v>
      </c>
      <c r="U5" s="16">
        <v>37765000000</v>
      </c>
      <c r="V5" s="16">
        <v>36995000000</v>
      </c>
      <c r="W5" s="16">
        <v>35244000000</v>
      </c>
      <c r="X5" s="16">
        <v>34857000000</v>
      </c>
      <c r="Y5" s="16">
        <v>36229000000</v>
      </c>
      <c r="Z5" s="16">
        <v>35639000000</v>
      </c>
    </row>
    <row r="6" customHeight="1" spans="1:26">
      <c r="A6" s="11" t="s">
        <v>30</v>
      </c>
      <c r="B6" s="12">
        <v>7594000000</v>
      </c>
      <c r="C6" s="13">
        <v>7346000000</v>
      </c>
      <c r="D6" s="13">
        <v>8498000000</v>
      </c>
      <c r="E6" s="13">
        <v>11195000000</v>
      </c>
      <c r="F6" s="13">
        <v>11967000000</v>
      </c>
      <c r="G6" s="13">
        <v>15249000000</v>
      </c>
      <c r="H6" s="13">
        <v>14341000000</v>
      </c>
      <c r="I6" s="13">
        <v>13067000000</v>
      </c>
      <c r="J6" s="13">
        <v>11834000000</v>
      </c>
      <c r="K6" s="13">
        <v>12943000000</v>
      </c>
      <c r="L6" s="13">
        <v>13427000000</v>
      </c>
      <c r="M6" s="13">
        <v>12089000000</v>
      </c>
      <c r="N6" s="13">
        <v>11370000000</v>
      </c>
      <c r="O6" s="13">
        <v>15601000000</v>
      </c>
      <c r="P6" s="13">
        <v>15719000000</v>
      </c>
      <c r="Q6" s="13">
        <v>14347000000</v>
      </c>
      <c r="R6" s="13">
        <v>13395000000</v>
      </c>
      <c r="S6" s="13">
        <v>20513000000</v>
      </c>
      <c r="T6" s="13">
        <v>17486000000</v>
      </c>
      <c r="U6" s="13">
        <v>18169000000</v>
      </c>
      <c r="V6" s="13">
        <v>18098000000</v>
      </c>
      <c r="W6" s="13">
        <v>16022000000</v>
      </c>
      <c r="X6" s="13">
        <v>16141000000</v>
      </c>
      <c r="Y6" s="13">
        <v>18117000000</v>
      </c>
      <c r="Z6" s="13">
        <v>0</v>
      </c>
    </row>
    <row r="7" customHeight="1" spans="1:26">
      <c r="A7" s="14" t="s">
        <v>31</v>
      </c>
      <c r="B7" s="15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</row>
    <row r="8" customHeight="1" spans="1:26">
      <c r="A8" s="14" t="s">
        <v>32</v>
      </c>
      <c r="B8" s="15">
        <v>5310000000</v>
      </c>
      <c r="C8" s="16">
        <v>4483000000</v>
      </c>
      <c r="D8" s="16">
        <v>6092000000</v>
      </c>
      <c r="E8" s="16">
        <v>7901000000</v>
      </c>
      <c r="F8" s="16">
        <v>7786000000</v>
      </c>
      <c r="G8" s="16">
        <v>11708000000</v>
      </c>
      <c r="H8" s="16">
        <v>6515000000</v>
      </c>
      <c r="I8" s="16">
        <v>7907000000</v>
      </c>
      <c r="J8" s="16">
        <v>6608000000</v>
      </c>
      <c r="K8" s="16">
        <v>9716000000</v>
      </c>
      <c r="L8" s="16">
        <v>8524000000</v>
      </c>
      <c r="M8" s="16">
        <v>7548000000</v>
      </c>
      <c r="N8" s="16">
        <v>6922000000</v>
      </c>
      <c r="O8" s="16">
        <v>7980000000</v>
      </c>
      <c r="P8" s="16">
        <v>7441000000</v>
      </c>
      <c r="Q8" s="16">
        <v>11370000000</v>
      </c>
      <c r="R8" s="16">
        <v>9743000000</v>
      </c>
      <c r="S8" s="16">
        <v>15828000000</v>
      </c>
      <c r="T8" s="16">
        <v>15621000000</v>
      </c>
      <c r="U8" s="16">
        <v>14090000000</v>
      </c>
      <c r="V8" s="16">
        <v>15090000000</v>
      </c>
      <c r="W8" s="16">
        <v>13024000000</v>
      </c>
      <c r="X8" s="16">
        <v>13451000000</v>
      </c>
      <c r="Y8" s="16">
        <v>17360000000</v>
      </c>
      <c r="Z8" s="16">
        <v>0</v>
      </c>
    </row>
    <row r="9" customHeight="1" spans="1:26">
      <c r="A9" s="14" t="s">
        <v>33</v>
      </c>
      <c r="B9" s="15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</row>
    <row r="10" customHeight="1" spans="1:26">
      <c r="A10" s="14" t="s">
        <v>34</v>
      </c>
      <c r="B10" s="15">
        <v>2284000000</v>
      </c>
      <c r="C10" s="16">
        <v>2863000000</v>
      </c>
      <c r="D10" s="16">
        <v>2406000000</v>
      </c>
      <c r="E10" s="16">
        <v>3294000000</v>
      </c>
      <c r="F10" s="16">
        <v>4181000000</v>
      </c>
      <c r="G10" s="16">
        <v>3541000000</v>
      </c>
      <c r="H10" s="16">
        <v>7826000000</v>
      </c>
      <c r="I10" s="16">
        <v>5160000000</v>
      </c>
      <c r="J10" s="16">
        <v>5226000000</v>
      </c>
      <c r="K10" s="16">
        <v>3227000000</v>
      </c>
      <c r="L10" s="16">
        <v>4903000000</v>
      </c>
      <c r="M10" s="16">
        <v>4541000000</v>
      </c>
      <c r="N10" s="16">
        <v>4448000000</v>
      </c>
      <c r="O10" s="16">
        <v>7621000000</v>
      </c>
      <c r="P10" s="16">
        <v>8278000000</v>
      </c>
      <c r="Q10" s="16">
        <v>2977000000</v>
      </c>
      <c r="R10" s="16">
        <v>3652000000</v>
      </c>
      <c r="S10" s="16">
        <v>4685000000</v>
      </c>
      <c r="T10" s="16">
        <v>1865000000</v>
      </c>
      <c r="U10" s="16">
        <v>4079000000</v>
      </c>
      <c r="V10" s="16">
        <v>3008000000</v>
      </c>
      <c r="W10" s="16">
        <v>2998000000</v>
      </c>
      <c r="X10" s="16">
        <v>2690000000</v>
      </c>
      <c r="Y10" s="16">
        <v>757000000</v>
      </c>
      <c r="Z10" s="16">
        <v>0</v>
      </c>
    </row>
    <row r="11" customHeight="1" spans="1:26">
      <c r="A11" s="14" t="s">
        <v>35</v>
      </c>
      <c r="B11" s="15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</row>
    <row r="12" customHeight="1" spans="1:26">
      <c r="A12" s="14" t="s">
        <v>36</v>
      </c>
      <c r="B12" s="15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</row>
    <row r="13" customHeight="1" spans="1:26">
      <c r="A13" s="14" t="s">
        <v>37</v>
      </c>
      <c r="B13" s="15">
        <v>7287000000</v>
      </c>
      <c r="C13" s="16">
        <v>7245000000</v>
      </c>
      <c r="D13" s="16">
        <v>6873000000</v>
      </c>
      <c r="E13" s="16">
        <v>7671000000</v>
      </c>
      <c r="F13" s="16">
        <v>7439000000</v>
      </c>
      <c r="G13" s="16">
        <v>7066000000</v>
      </c>
      <c r="H13" s="16">
        <v>7018000000</v>
      </c>
      <c r="I13" s="16">
        <v>7364000000</v>
      </c>
      <c r="J13" s="16">
        <v>6916000000</v>
      </c>
      <c r="K13" s="16">
        <v>6850000000</v>
      </c>
      <c r="L13" s="16">
        <v>6484000000</v>
      </c>
      <c r="M13" s="16">
        <v>6414000000</v>
      </c>
      <c r="N13" s="16">
        <v>6510000000</v>
      </c>
      <c r="O13" s="16">
        <v>6670000000</v>
      </c>
      <c r="P13" s="16">
        <v>6626000000</v>
      </c>
      <c r="Q13" s="16">
        <v>6515000000</v>
      </c>
      <c r="R13" s="16">
        <v>7022000000</v>
      </c>
      <c r="S13" s="16">
        <v>7188000000</v>
      </c>
      <c r="T13" s="16">
        <v>7184000000</v>
      </c>
      <c r="U13" s="16">
        <v>7578000000</v>
      </c>
      <c r="V13" s="16">
        <v>7779000000</v>
      </c>
      <c r="W13" s="16">
        <v>7965000000</v>
      </c>
      <c r="X13" s="16">
        <v>7672000000</v>
      </c>
      <c r="Y13" s="16">
        <v>7952000000</v>
      </c>
      <c r="Z13" s="16">
        <v>0</v>
      </c>
    </row>
    <row r="14" s="3" customFormat="1" customHeight="1" spans="1:256">
      <c r="A14" s="17" t="s">
        <v>38</v>
      </c>
      <c r="B14" s="12">
        <f>B13/B6</f>
        <v>0.95957334737951</v>
      </c>
      <c r="C14" s="12">
        <f t="shared" ref="C14:Z14" si="0">C13/C6</f>
        <v>0.98625102096379</v>
      </c>
      <c r="D14" s="12">
        <f t="shared" si="0"/>
        <v>0.808778536126147</v>
      </c>
      <c r="E14" s="12">
        <f t="shared" si="0"/>
        <v>0.685216614560071</v>
      </c>
      <c r="F14" s="12">
        <f t="shared" si="0"/>
        <v>0.621626138547673</v>
      </c>
      <c r="G14" s="12">
        <f t="shared" si="0"/>
        <v>0.46337464751787</v>
      </c>
      <c r="H14" s="12">
        <f t="shared" si="0"/>
        <v>0.489366152987937</v>
      </c>
      <c r="I14" s="12">
        <f t="shared" si="0"/>
        <v>0.563557052116017</v>
      </c>
      <c r="J14" s="12">
        <f t="shared" si="0"/>
        <v>0.584417779280041</v>
      </c>
      <c r="K14" s="12">
        <f t="shared" si="0"/>
        <v>0.529243606582709</v>
      </c>
      <c r="L14" s="12">
        <f t="shared" si="0"/>
        <v>0.482907574290608</v>
      </c>
      <c r="M14" s="12">
        <f t="shared" si="0"/>
        <v>0.530564976424849</v>
      </c>
      <c r="N14" s="12">
        <f t="shared" si="0"/>
        <v>0.572559366754617</v>
      </c>
      <c r="O14" s="12">
        <f t="shared" si="0"/>
        <v>0.427536696365618</v>
      </c>
      <c r="P14" s="12">
        <f t="shared" si="0"/>
        <v>0.421528087028437</v>
      </c>
      <c r="Q14" s="12">
        <f t="shared" si="0"/>
        <v>0.45410190283683</v>
      </c>
      <c r="R14" s="12">
        <f t="shared" si="0"/>
        <v>0.524225457260172</v>
      </c>
      <c r="S14" s="12">
        <f t="shared" si="0"/>
        <v>0.350411933895578</v>
      </c>
      <c r="T14" s="12">
        <f t="shared" si="0"/>
        <v>0.410842960082352</v>
      </c>
      <c r="U14" s="12">
        <f t="shared" si="0"/>
        <v>0.417084044251197</v>
      </c>
      <c r="V14" s="12">
        <f t="shared" si="0"/>
        <v>0.429826500165764</v>
      </c>
      <c r="W14" s="12">
        <f t="shared" si="0"/>
        <v>0.497128947696917</v>
      </c>
      <c r="X14" s="12">
        <f t="shared" si="0"/>
        <v>0.475311319001301</v>
      </c>
      <c r="Y14" s="12">
        <f t="shared" si="0"/>
        <v>0.438924766793619</v>
      </c>
      <c r="Z14" s="12" t="e">
        <f t="shared" si="0"/>
        <v>#DIV/0!</v>
      </c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</row>
    <row r="15" customHeight="1" spans="1:26">
      <c r="A15" s="14" t="s">
        <v>39</v>
      </c>
      <c r="B15" s="15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</row>
    <row r="16" customHeight="1" spans="1:26">
      <c r="A16" s="14" t="s">
        <v>40</v>
      </c>
      <c r="B16" s="15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</row>
    <row r="17" customHeight="1" spans="1:26">
      <c r="A17" s="14" t="s">
        <v>41</v>
      </c>
      <c r="B17" s="15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</row>
    <row r="18" customHeight="1" spans="1:26">
      <c r="A18" s="14" t="s">
        <v>42</v>
      </c>
      <c r="B18" s="15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</row>
    <row r="19" customHeight="1" spans="1:26">
      <c r="A19" s="14" t="s">
        <v>43</v>
      </c>
      <c r="B19" s="15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</row>
    <row r="20" customHeight="1" spans="1:26">
      <c r="A20" s="14" t="s">
        <v>44</v>
      </c>
      <c r="B20" s="15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</row>
    <row r="21" customHeight="1" spans="1:26">
      <c r="A21" s="14" t="s">
        <v>45</v>
      </c>
      <c r="B21" s="15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</row>
    <row r="22" customHeight="1" spans="1:26">
      <c r="A22" s="14" t="s">
        <v>46</v>
      </c>
      <c r="B22" s="15">
        <v>5178000000</v>
      </c>
      <c r="C22" s="16">
        <v>5382000000</v>
      </c>
      <c r="D22" s="16">
        <v>5096000000</v>
      </c>
      <c r="E22" s="16">
        <v>5263000000</v>
      </c>
      <c r="F22" s="16">
        <v>5407000000</v>
      </c>
      <c r="G22" s="16">
        <v>5146000000</v>
      </c>
      <c r="H22" s="16">
        <v>4866000000</v>
      </c>
      <c r="I22" s="16">
        <v>5244000000</v>
      </c>
      <c r="J22" s="16">
        <v>5248000000</v>
      </c>
      <c r="K22" s="16">
        <v>5102000000</v>
      </c>
      <c r="L22" s="16">
        <v>4700000000</v>
      </c>
      <c r="M22" s="16">
        <v>5123000000</v>
      </c>
      <c r="N22" s="16">
        <v>5306000000</v>
      </c>
      <c r="O22" s="16">
        <v>5539000000</v>
      </c>
      <c r="P22" s="16">
        <v>5571000000</v>
      </c>
      <c r="Q22" s="16">
        <v>5819000000</v>
      </c>
      <c r="R22" s="16">
        <v>6136000000</v>
      </c>
      <c r="S22" s="16">
        <v>6376000000</v>
      </c>
      <c r="T22" s="16">
        <v>6226000000</v>
      </c>
      <c r="U22" s="16">
        <v>6741000000</v>
      </c>
      <c r="V22" s="16">
        <v>6766000000</v>
      </c>
      <c r="W22" s="16">
        <v>6773000000</v>
      </c>
      <c r="X22" s="16">
        <v>6535000000</v>
      </c>
      <c r="Y22" s="16">
        <v>6731000000</v>
      </c>
      <c r="Z22" s="16">
        <v>0</v>
      </c>
    </row>
    <row r="23" s="3" customFormat="1" customHeight="1" spans="1:256">
      <c r="A23" s="17" t="s">
        <v>47</v>
      </c>
      <c r="B23" s="12">
        <f>(B22+B13)/B6</f>
        <v>1.64142744271794</v>
      </c>
      <c r="C23" s="12">
        <f t="shared" ref="C23:Z23" si="1">(C22+C13)/C6</f>
        <v>1.71889463653689</v>
      </c>
      <c r="D23" s="12">
        <f t="shared" si="1"/>
        <v>1.40844904683455</v>
      </c>
      <c r="E23" s="12">
        <f t="shared" si="1"/>
        <v>1.15533720410898</v>
      </c>
      <c r="F23" s="12">
        <f t="shared" si="1"/>
        <v>1.0734519929807</v>
      </c>
      <c r="G23" s="12">
        <f t="shared" si="1"/>
        <v>0.800839399304872</v>
      </c>
      <c r="H23" s="12">
        <f t="shared" si="1"/>
        <v>0.828673035353183</v>
      </c>
      <c r="I23" s="12">
        <f t="shared" si="1"/>
        <v>0.964873345067728</v>
      </c>
      <c r="J23" s="12">
        <f t="shared" si="1"/>
        <v>1.02788575291533</v>
      </c>
      <c r="K23" s="12">
        <f t="shared" si="1"/>
        <v>0.923433516186356</v>
      </c>
      <c r="L23" s="12">
        <f t="shared" si="1"/>
        <v>0.832948536530871</v>
      </c>
      <c r="M23" s="12">
        <f t="shared" si="1"/>
        <v>0.954338654975598</v>
      </c>
      <c r="N23" s="12">
        <f t="shared" si="1"/>
        <v>1.03922603342128</v>
      </c>
      <c r="O23" s="12">
        <f t="shared" si="1"/>
        <v>0.782578039869239</v>
      </c>
      <c r="P23" s="12">
        <f t="shared" si="1"/>
        <v>0.775939945289141</v>
      </c>
      <c r="Q23" s="12">
        <f t="shared" si="1"/>
        <v>0.859691921656095</v>
      </c>
      <c r="R23" s="12">
        <f t="shared" si="1"/>
        <v>0.982306830907055</v>
      </c>
      <c r="S23" s="12">
        <f t="shared" si="1"/>
        <v>0.661239214156876</v>
      </c>
      <c r="T23" s="12">
        <f t="shared" si="1"/>
        <v>0.766899233672652</v>
      </c>
      <c r="U23" s="12">
        <f t="shared" si="1"/>
        <v>0.788100610930706</v>
      </c>
      <c r="V23" s="12">
        <f t="shared" si="1"/>
        <v>0.803679964636976</v>
      </c>
      <c r="W23" s="12">
        <f t="shared" si="1"/>
        <v>0.919860192235676</v>
      </c>
      <c r="X23" s="12">
        <f t="shared" si="1"/>
        <v>0.88018090576792</v>
      </c>
      <c r="Y23" s="12">
        <f t="shared" si="1"/>
        <v>0.810454269470663</v>
      </c>
      <c r="Z23" s="12" t="e">
        <f t="shared" si="1"/>
        <v>#DIV/0!</v>
      </c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19"/>
      <c r="IV23" s="19"/>
    </row>
    <row r="24" customHeight="1" spans="1:26">
      <c r="A24" s="14" t="s">
        <v>48</v>
      </c>
      <c r="B24" s="15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5153000000</v>
      </c>
      <c r="M24" s="16">
        <v>4941000000</v>
      </c>
      <c r="N24" s="16">
        <v>5133000000</v>
      </c>
      <c r="O24" s="16">
        <v>5117000000</v>
      </c>
      <c r="P24" s="16">
        <v>5257000000</v>
      </c>
      <c r="Q24" s="16">
        <v>4740000000</v>
      </c>
      <c r="R24" s="16">
        <v>3659000000</v>
      </c>
      <c r="S24" s="16">
        <v>3939000000</v>
      </c>
      <c r="T24" s="16">
        <v>4789000000</v>
      </c>
      <c r="U24" s="16">
        <v>5277000000</v>
      </c>
      <c r="V24" s="16">
        <v>4352000000</v>
      </c>
      <c r="W24" s="16">
        <v>4484000000</v>
      </c>
      <c r="X24" s="16">
        <v>4509000000</v>
      </c>
      <c r="Y24" s="16">
        <v>3429000000</v>
      </c>
      <c r="Z24" s="16">
        <v>0</v>
      </c>
    </row>
    <row r="25" customHeight="1" spans="1:26">
      <c r="A25" s="14" t="s">
        <v>49</v>
      </c>
      <c r="B25" s="15">
        <v>4005000000</v>
      </c>
      <c r="C25" s="16">
        <v>4112000000</v>
      </c>
      <c r="D25" s="16">
        <v>4299000000</v>
      </c>
      <c r="E25" s="16">
        <v>3790000000</v>
      </c>
      <c r="F25" s="16">
        <v>3354000000</v>
      </c>
      <c r="G25" s="16">
        <v>4069000000</v>
      </c>
      <c r="H25" s="16">
        <v>4389000000</v>
      </c>
      <c r="I25" s="16">
        <v>3765000000</v>
      </c>
      <c r="J25" s="16">
        <v>3928000000</v>
      </c>
      <c r="K25" s="16">
        <v>3877000000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3302000000</v>
      </c>
      <c r="R25" s="16">
        <v>3375000000</v>
      </c>
      <c r="S25" s="16">
        <v>3224000000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</row>
    <row r="26" customHeight="1" spans="1:26">
      <c r="A26" s="11" t="s">
        <v>50</v>
      </c>
      <c r="B26" s="12">
        <v>60976000000</v>
      </c>
      <c r="C26" s="13">
        <v>61956000000</v>
      </c>
      <c r="D26" s="13">
        <v>63106000000</v>
      </c>
      <c r="E26" s="13">
        <v>63757000000</v>
      </c>
      <c r="F26" s="13">
        <v>64637000000</v>
      </c>
      <c r="G26" s="13">
        <v>65031000000</v>
      </c>
      <c r="H26" s="13">
        <v>64763000000</v>
      </c>
      <c r="I26" s="13">
        <v>68895000000</v>
      </c>
      <c r="J26" s="13">
        <v>68549000000</v>
      </c>
      <c r="K26" s="13">
        <v>69983000000</v>
      </c>
      <c r="L26" s="13">
        <v>72015000000</v>
      </c>
      <c r="M26" s="13">
        <v>72665000000</v>
      </c>
      <c r="N26" s="13">
        <v>74263000000</v>
      </c>
      <c r="O26" s="13">
        <v>75418000000</v>
      </c>
      <c r="P26" s="13">
        <v>65162000000</v>
      </c>
      <c r="Q26" s="13">
        <v>67085000000</v>
      </c>
      <c r="R26" s="13">
        <v>64273000000</v>
      </c>
      <c r="S26" s="13">
        <v>67220000000</v>
      </c>
      <c r="T26" s="13">
        <v>69960000000</v>
      </c>
      <c r="U26" s="13">
        <v>68654000000</v>
      </c>
      <c r="V26" s="13">
        <v>69881000000</v>
      </c>
      <c r="W26" s="13">
        <v>70956000000</v>
      </c>
      <c r="X26" s="13">
        <v>71275000000</v>
      </c>
      <c r="Y26" s="13">
        <v>70072000000</v>
      </c>
      <c r="Z26" s="13">
        <v>0</v>
      </c>
    </row>
    <row r="27" customHeight="1" spans="1:26">
      <c r="A27" s="11" t="s">
        <v>51</v>
      </c>
      <c r="B27" s="12">
        <v>12626000000</v>
      </c>
      <c r="C27" s="13">
        <v>12561000000</v>
      </c>
      <c r="D27" s="13">
        <v>12439000000</v>
      </c>
      <c r="E27" s="13">
        <v>12189000000</v>
      </c>
      <c r="F27" s="13">
        <v>12094000000</v>
      </c>
      <c r="G27" s="13">
        <v>12042000000</v>
      </c>
      <c r="H27" s="13">
        <v>12026000000</v>
      </c>
      <c r="I27" s="13">
        <v>12029000000</v>
      </c>
      <c r="J27" s="13">
        <v>11987000000</v>
      </c>
      <c r="K27" s="13">
        <v>12360000000</v>
      </c>
      <c r="L27" s="13">
        <v>12507000000</v>
      </c>
      <c r="M27" s="13">
        <v>12482000000</v>
      </c>
      <c r="N27" s="13">
        <v>12630000000</v>
      </c>
      <c r="O27" s="13">
        <v>12910000000</v>
      </c>
      <c r="P27" s="13">
        <v>13136000000</v>
      </c>
      <c r="Q27" s="13">
        <v>13438000000</v>
      </c>
      <c r="R27" s="13">
        <v>13893000000</v>
      </c>
      <c r="S27" s="13">
        <v>14296000000</v>
      </c>
      <c r="T27" s="13">
        <v>14973000000</v>
      </c>
      <c r="U27" s="13">
        <v>15323000000</v>
      </c>
      <c r="V27" s="13">
        <v>15683000000</v>
      </c>
      <c r="W27" s="13">
        <v>15802000000</v>
      </c>
      <c r="X27" s="13">
        <v>16030000000</v>
      </c>
      <c r="Y27" s="13">
        <v>0</v>
      </c>
      <c r="Z27" s="13">
        <v>0</v>
      </c>
    </row>
    <row r="28" customHeight="1" spans="1:26">
      <c r="A28" s="14" t="s">
        <v>52</v>
      </c>
      <c r="B28" s="15">
        <v>29193000000</v>
      </c>
      <c r="C28" s="16">
        <v>29044000000</v>
      </c>
      <c r="D28" s="16">
        <v>29041000000</v>
      </c>
      <c r="E28" s="16">
        <v>28850000000</v>
      </c>
      <c r="F28" s="16">
        <v>28469000000</v>
      </c>
      <c r="G28" s="16">
        <v>28213000000</v>
      </c>
      <c r="H28" s="16">
        <v>27775000000</v>
      </c>
      <c r="I28" s="16">
        <v>28051000000</v>
      </c>
      <c r="J28" s="16">
        <v>27992000000</v>
      </c>
      <c r="K28" s="16">
        <v>28412000000</v>
      </c>
      <c r="L28" s="16">
        <v>28430000000</v>
      </c>
      <c r="M28" s="16">
        <v>28525000000</v>
      </c>
      <c r="N28" s="16">
        <v>28936000000</v>
      </c>
      <c r="O28" s="16">
        <v>29704000000</v>
      </c>
      <c r="P28" s="16">
        <v>31140000000</v>
      </c>
      <c r="Q28" s="16">
        <v>32199000000</v>
      </c>
      <c r="R28" s="16">
        <v>32759000000</v>
      </c>
      <c r="S28" s="16">
        <v>32918000000</v>
      </c>
      <c r="T28" s="16">
        <v>33094000000</v>
      </c>
      <c r="U28" s="16">
        <v>33128000000</v>
      </c>
      <c r="V28" s="16">
        <v>33277000000</v>
      </c>
      <c r="W28" s="16">
        <v>33424000000</v>
      </c>
      <c r="X28" s="16">
        <v>33415000000</v>
      </c>
      <c r="Y28" s="16">
        <v>0</v>
      </c>
      <c r="Z28" s="16">
        <v>0</v>
      </c>
    </row>
    <row r="29" customHeight="1" spans="1:26">
      <c r="A29" s="14" t="s">
        <v>53</v>
      </c>
      <c r="B29" s="15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</row>
    <row r="30" customHeight="1" spans="1:26">
      <c r="A30" s="14" t="s">
        <v>54</v>
      </c>
      <c r="B30" s="15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</row>
    <row r="31" customHeight="1" spans="1:26">
      <c r="A31" s="14" t="s">
        <v>55</v>
      </c>
      <c r="B31" s="15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</row>
    <row r="32" customHeight="1" spans="1:26">
      <c r="A32" s="14" t="s">
        <v>56</v>
      </c>
      <c r="B32" s="15">
        <v>-16567000000</v>
      </c>
      <c r="C32" s="16">
        <v>-16483000000</v>
      </c>
      <c r="D32" s="16">
        <v>-16602000000</v>
      </c>
      <c r="E32" s="16">
        <v>-16661000000</v>
      </c>
      <c r="F32" s="16">
        <v>-16375000000</v>
      </c>
      <c r="G32" s="16">
        <v>-16171000000</v>
      </c>
      <c r="H32" s="16">
        <v>-15749000000</v>
      </c>
      <c r="I32" s="16">
        <v>-16022000000</v>
      </c>
      <c r="J32" s="16">
        <v>-16005000000</v>
      </c>
      <c r="K32" s="16">
        <v>-16052000000</v>
      </c>
      <c r="L32" s="16">
        <v>-15923000000</v>
      </c>
      <c r="M32" s="16">
        <v>-16043000000</v>
      </c>
      <c r="N32" s="16">
        <v>-16306000000</v>
      </c>
      <c r="O32" s="16">
        <v>-16794000000</v>
      </c>
      <c r="P32" s="16">
        <v>-18004000000</v>
      </c>
      <c r="Q32" s="16">
        <v>-18761000000</v>
      </c>
      <c r="R32" s="16">
        <v>-18866000000</v>
      </c>
      <c r="S32" s="16">
        <v>-18622000000</v>
      </c>
      <c r="T32" s="16">
        <v>-18121000000</v>
      </c>
      <c r="U32" s="16">
        <v>-17805000000</v>
      </c>
      <c r="V32" s="16">
        <v>-17594000000</v>
      </c>
      <c r="W32" s="16">
        <v>-17622000000</v>
      </c>
      <c r="X32" s="16">
        <v>-17385000000</v>
      </c>
      <c r="Y32" s="16">
        <v>-17475000000</v>
      </c>
      <c r="Z32" s="16">
        <v>0</v>
      </c>
    </row>
    <row r="33" customHeight="1" spans="1:26">
      <c r="A33" s="14" t="s">
        <v>57</v>
      </c>
      <c r="B33" s="15">
        <v>10033000000</v>
      </c>
      <c r="C33" s="16">
        <v>11033000000</v>
      </c>
      <c r="D33" s="16">
        <v>12125000000</v>
      </c>
      <c r="E33" s="16">
        <v>12206000000</v>
      </c>
      <c r="F33" s="16">
        <v>12138000000</v>
      </c>
      <c r="G33" s="16">
        <v>11896000000</v>
      </c>
      <c r="H33" s="16">
        <v>11416000000</v>
      </c>
      <c r="I33" s="16">
        <v>11657000000</v>
      </c>
      <c r="J33" s="16">
        <v>11879000000</v>
      </c>
      <c r="K33" s="16">
        <v>12554000000</v>
      </c>
      <c r="L33" s="16">
        <v>13039000000</v>
      </c>
      <c r="M33" s="16">
        <v>13080000000</v>
      </c>
      <c r="N33" s="16">
        <v>13333000000</v>
      </c>
      <c r="O33" s="16">
        <v>13092000000</v>
      </c>
      <c r="P33" s="16">
        <v>13515000000</v>
      </c>
      <c r="Q33" s="16">
        <v>13492000000</v>
      </c>
      <c r="R33" s="16">
        <v>12618000000</v>
      </c>
      <c r="S33" s="16">
        <v>11456000000</v>
      </c>
      <c r="T33" s="16">
        <v>9770000000</v>
      </c>
      <c r="U33" s="16">
        <v>9198000000</v>
      </c>
      <c r="V33" s="16">
        <v>8555000000</v>
      </c>
      <c r="W33" s="16">
        <v>7948000000</v>
      </c>
      <c r="X33" s="16">
        <v>7305000000</v>
      </c>
      <c r="Y33" s="16">
        <v>5560000000</v>
      </c>
      <c r="Z33" s="16">
        <v>0</v>
      </c>
    </row>
    <row r="34" customHeight="1" spans="1:26">
      <c r="A34" s="14" t="s">
        <v>58</v>
      </c>
      <c r="B34" s="15">
        <v>18274000000</v>
      </c>
      <c r="C34" s="16">
        <v>18304000000</v>
      </c>
      <c r="D34" s="16">
        <v>18284000000</v>
      </c>
      <c r="E34" s="16">
        <v>18340000000</v>
      </c>
      <c r="F34" s="16">
        <v>18358000000</v>
      </c>
      <c r="G34" s="16">
        <v>18358000000</v>
      </c>
      <c r="H34" s="16">
        <v>18162000000</v>
      </c>
      <c r="I34" s="16">
        <v>18260000000</v>
      </c>
      <c r="J34" s="16">
        <v>17809000000</v>
      </c>
      <c r="K34" s="16">
        <v>17784000000</v>
      </c>
      <c r="L34" s="16">
        <v>17723000000</v>
      </c>
      <c r="M34" s="16">
        <v>17761000000</v>
      </c>
      <c r="N34" s="16">
        <v>17707000000</v>
      </c>
      <c r="O34" s="16">
        <v>17740000000</v>
      </c>
      <c r="P34" s="16">
        <v>12992000000</v>
      </c>
      <c r="Q34" s="16">
        <v>13171000000</v>
      </c>
      <c r="R34" s="16">
        <v>11789000000</v>
      </c>
      <c r="S34" s="16">
        <v>12120000000</v>
      </c>
      <c r="T34" s="16">
        <v>12301000000</v>
      </c>
      <c r="U34" s="16">
        <v>12121000000</v>
      </c>
      <c r="V34" s="16">
        <v>12198000000</v>
      </c>
      <c r="W34" s="16">
        <v>12207000000</v>
      </c>
      <c r="X34" s="16">
        <v>12134000000</v>
      </c>
      <c r="Y34" s="16">
        <v>12168000000</v>
      </c>
      <c r="Z34" s="16">
        <v>0</v>
      </c>
    </row>
    <row r="35" customHeight="1" spans="1:26">
      <c r="A35" s="14" t="s">
        <v>59</v>
      </c>
      <c r="B35" s="15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</row>
    <row r="36" customHeight="1" spans="1:26">
      <c r="A36" s="14" t="s">
        <v>60</v>
      </c>
      <c r="B36" s="15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</row>
    <row r="37" customHeight="1" spans="1:26">
      <c r="A37" s="14" t="s">
        <v>61</v>
      </c>
      <c r="B37" s="15">
        <v>7145000000</v>
      </c>
      <c r="C37" s="16">
        <v>6558000000</v>
      </c>
      <c r="D37" s="16">
        <v>6075000000</v>
      </c>
      <c r="E37" s="16">
        <v>5884000000</v>
      </c>
      <c r="F37" s="16">
        <v>5928000000</v>
      </c>
      <c r="G37" s="16">
        <v>5872000000</v>
      </c>
      <c r="H37" s="16">
        <v>5854000000</v>
      </c>
      <c r="I37" s="16">
        <v>6443000000</v>
      </c>
      <c r="J37" s="16">
        <v>6559000000</v>
      </c>
      <c r="K37" s="16">
        <v>5921000000</v>
      </c>
      <c r="L37" s="16">
        <v>6144000000</v>
      </c>
      <c r="M37" s="16">
        <v>5618000000</v>
      </c>
      <c r="N37" s="16">
        <v>5843000000</v>
      </c>
      <c r="O37" s="16">
        <v>5596000000</v>
      </c>
      <c r="P37" s="16">
        <v>5133000000</v>
      </c>
      <c r="Q37" s="16">
        <v>6589000000</v>
      </c>
      <c r="R37" s="16">
        <v>7143000000</v>
      </c>
      <c r="S37" s="16">
        <v>8831000000</v>
      </c>
      <c r="T37" s="16">
        <v>9115000000</v>
      </c>
      <c r="U37" s="16">
        <v>7010000000</v>
      </c>
      <c r="V37" s="16">
        <v>7112000000</v>
      </c>
      <c r="W37" s="16">
        <v>6891000000</v>
      </c>
      <c r="X37" s="16">
        <v>6723000000</v>
      </c>
      <c r="Y37" s="16">
        <v>6135000000</v>
      </c>
      <c r="Z37" s="16">
        <v>0</v>
      </c>
    </row>
    <row r="38" customHeight="1" spans="1:26">
      <c r="A38" s="14" t="s">
        <v>62</v>
      </c>
      <c r="B38" s="15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</row>
    <row r="39" customHeight="1" spans="1:26">
      <c r="A39" s="14" t="s">
        <v>63</v>
      </c>
      <c r="B39" s="15">
        <v>85040000000</v>
      </c>
      <c r="C39" s="16">
        <v>86041000000</v>
      </c>
      <c r="D39" s="16">
        <v>87872000000</v>
      </c>
      <c r="E39" s="16">
        <v>91676000000</v>
      </c>
      <c r="F39" s="16">
        <v>92804000000</v>
      </c>
      <c r="G39" s="16">
        <v>96561000000</v>
      </c>
      <c r="H39" s="16">
        <v>95157000000</v>
      </c>
      <c r="I39" s="16">
        <v>98335000000</v>
      </c>
      <c r="J39" s="16">
        <v>96475000000</v>
      </c>
      <c r="K39" s="16">
        <v>98755000000</v>
      </c>
      <c r="L39" s="16">
        <v>101779000000</v>
      </c>
      <c r="M39" s="16">
        <v>101232000000</v>
      </c>
      <c r="N39" s="16">
        <v>102582000000</v>
      </c>
      <c r="O39" s="16">
        <v>108345000000</v>
      </c>
      <c r="P39" s="16">
        <v>98335000000</v>
      </c>
      <c r="Q39" s="16">
        <v>101808000000</v>
      </c>
      <c r="R39" s="16">
        <v>97860000000</v>
      </c>
      <c r="S39" s="16">
        <v>108460000000</v>
      </c>
      <c r="T39" s="16">
        <v>105645000000</v>
      </c>
      <c r="U39" s="16">
        <v>106419000000</v>
      </c>
      <c r="V39" s="16">
        <v>106876000000</v>
      </c>
      <c r="W39" s="16">
        <v>106200000000</v>
      </c>
      <c r="X39" s="16">
        <v>106132000000</v>
      </c>
      <c r="Y39" s="16">
        <v>0</v>
      </c>
      <c r="Z39" s="16">
        <v>0</v>
      </c>
    </row>
    <row r="40" customHeight="1" spans="1:26">
      <c r="A40" s="11" t="s">
        <v>64</v>
      </c>
      <c r="B40" s="12">
        <v>52511000000</v>
      </c>
      <c r="C40" s="13">
        <v>52373000000</v>
      </c>
      <c r="D40" s="13">
        <v>53536000000</v>
      </c>
      <c r="E40" s="13">
        <v>53428000000</v>
      </c>
      <c r="F40" s="13">
        <v>53341000000</v>
      </c>
      <c r="G40" s="13">
        <v>56724000000</v>
      </c>
      <c r="H40" s="13">
        <v>55069000000</v>
      </c>
      <c r="I40" s="13">
        <v>54591000000</v>
      </c>
      <c r="J40" s="13">
        <v>53118000000</v>
      </c>
      <c r="K40" s="13">
        <v>54949000000</v>
      </c>
      <c r="L40" s="13">
        <v>57103000000</v>
      </c>
      <c r="M40" s="13">
        <v>55645000000</v>
      </c>
      <c r="N40" s="13">
        <v>56134000000</v>
      </c>
      <c r="O40" s="13">
        <v>60580000000</v>
      </c>
      <c r="P40" s="13">
        <v>49688000000</v>
      </c>
      <c r="Q40" s="13">
        <v>56584000000</v>
      </c>
      <c r="R40" s="13">
        <v>49502000000</v>
      </c>
      <c r="S40" s="13">
        <v>58485000000</v>
      </c>
      <c r="T40" s="13">
        <v>55880000000</v>
      </c>
      <c r="U40" s="13">
        <v>59000000000</v>
      </c>
      <c r="V40" s="13">
        <v>59376000000</v>
      </c>
      <c r="W40" s="13">
        <v>53171000000</v>
      </c>
      <c r="X40" s="13">
        <v>53112000000</v>
      </c>
      <c r="Y40" s="13">
        <v>50554000000</v>
      </c>
      <c r="Z40" s="13">
        <v>50331000000</v>
      </c>
    </row>
    <row r="41" customHeight="1" spans="1:26">
      <c r="A41" s="11" t="s">
        <v>65</v>
      </c>
      <c r="B41" s="12">
        <v>18128000000</v>
      </c>
      <c r="C41" s="13">
        <v>16960000000</v>
      </c>
      <c r="D41" s="13">
        <v>18614000000</v>
      </c>
      <c r="E41" s="13">
        <v>19467000000</v>
      </c>
      <c r="F41" s="13">
        <v>18758000000</v>
      </c>
      <c r="G41" s="13">
        <v>19823000000</v>
      </c>
      <c r="H41" s="13">
        <v>17204000000</v>
      </c>
      <c r="I41" s="13">
        <v>15555000000</v>
      </c>
      <c r="J41" s="13">
        <v>14918000000</v>
      </c>
      <c r="K41" s="13">
        <v>17568000000</v>
      </c>
      <c r="L41" s="13">
        <v>19203000000</v>
      </c>
      <c r="M41" s="13">
        <v>17583000000</v>
      </c>
      <c r="N41" s="13">
        <v>17508000000</v>
      </c>
      <c r="O41" s="13">
        <v>20442000000</v>
      </c>
      <c r="P41" s="13">
        <v>18766000000</v>
      </c>
      <c r="Q41" s="13">
        <v>25927000000</v>
      </c>
      <c r="R41" s="13">
        <v>17928000000</v>
      </c>
      <c r="S41" s="13">
        <v>22470000000</v>
      </c>
      <c r="T41" s="13">
        <v>17868000000</v>
      </c>
      <c r="U41" s="13">
        <v>18215000000</v>
      </c>
      <c r="V41" s="13">
        <v>18402000000</v>
      </c>
      <c r="W41" s="13">
        <v>18802000000</v>
      </c>
      <c r="X41" s="13">
        <v>18348000000</v>
      </c>
      <c r="Y41" s="13">
        <v>15583000000</v>
      </c>
      <c r="Z41" s="13">
        <v>16912000000</v>
      </c>
    </row>
    <row r="42" customHeight="1" spans="1:26">
      <c r="A42" s="14" t="s">
        <v>66</v>
      </c>
      <c r="B42" s="15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</row>
    <row r="43" customHeight="1" spans="1:26">
      <c r="A43" s="14" t="s">
        <v>67</v>
      </c>
      <c r="B43" s="15">
        <v>3024000000</v>
      </c>
      <c r="C43" s="16">
        <v>3162000000</v>
      </c>
      <c r="D43" s="16">
        <v>3102000000</v>
      </c>
      <c r="E43" s="16">
        <v>2620000000</v>
      </c>
      <c r="F43" s="16">
        <v>2934000000</v>
      </c>
      <c r="G43" s="16">
        <v>2484000000</v>
      </c>
      <c r="H43" s="16">
        <v>2807000000</v>
      </c>
      <c r="I43" s="16">
        <v>2481000000</v>
      </c>
      <c r="J43" s="16">
        <v>2514000000</v>
      </c>
      <c r="K43" s="16">
        <v>2241000000</v>
      </c>
      <c r="L43" s="16">
        <v>2533000000</v>
      </c>
      <c r="M43" s="16">
        <v>2023000000</v>
      </c>
      <c r="N43" s="16">
        <v>2335000000</v>
      </c>
      <c r="O43" s="16">
        <v>2091000000</v>
      </c>
      <c r="P43" s="16">
        <v>2625000000</v>
      </c>
      <c r="Q43" s="16">
        <v>2279000000</v>
      </c>
      <c r="R43" s="16">
        <v>2326000000</v>
      </c>
      <c r="S43" s="16">
        <v>2434000000</v>
      </c>
      <c r="T43" s="16">
        <v>2274000000</v>
      </c>
      <c r="U43" s="16">
        <v>2469000000</v>
      </c>
      <c r="V43" s="16">
        <v>2253000000</v>
      </c>
      <c r="W43" s="16">
        <v>2084000000</v>
      </c>
      <c r="X43" s="16">
        <v>1753000000</v>
      </c>
      <c r="Y43" s="16">
        <v>1804000000</v>
      </c>
      <c r="Z43" s="16">
        <v>0</v>
      </c>
    </row>
    <row r="44" customHeight="1" spans="1:26">
      <c r="A44" s="14" t="s">
        <v>68</v>
      </c>
      <c r="B44" s="15">
        <v>661000000</v>
      </c>
      <c r="C44" s="16">
        <v>717000000</v>
      </c>
      <c r="D44" s="16">
        <v>708000000</v>
      </c>
      <c r="E44" s="16">
        <v>396000000</v>
      </c>
      <c r="F44" s="16">
        <v>1979000000</v>
      </c>
      <c r="G44" s="16">
        <v>2330000000</v>
      </c>
      <c r="H44" s="16">
        <v>2239000000</v>
      </c>
      <c r="I44" s="16">
        <v>1208000000</v>
      </c>
      <c r="J44" s="16">
        <v>1213000000</v>
      </c>
      <c r="K44" s="16">
        <v>1864000000</v>
      </c>
      <c r="L44" s="16">
        <v>1560000000</v>
      </c>
      <c r="M44" s="16">
        <v>2119000000</v>
      </c>
      <c r="N44" s="16">
        <v>1878000000</v>
      </c>
      <c r="O44" s="16">
        <v>2450000000</v>
      </c>
      <c r="P44" s="16">
        <v>1606000000</v>
      </c>
      <c r="Q44" s="16">
        <v>2467000000</v>
      </c>
      <c r="R44" s="16">
        <v>192000000</v>
      </c>
      <c r="S44" s="16">
        <v>595000000</v>
      </c>
      <c r="T44" s="16">
        <v>251000000</v>
      </c>
      <c r="U44" s="16">
        <v>1298000000</v>
      </c>
      <c r="V44" s="16">
        <v>409000000</v>
      </c>
      <c r="W44" s="16">
        <v>1075000000</v>
      </c>
      <c r="X44" s="16">
        <v>1200000000</v>
      </c>
      <c r="Y44" s="16">
        <v>1512000000</v>
      </c>
      <c r="Z44" s="16">
        <v>0</v>
      </c>
    </row>
    <row r="45" customHeight="1" spans="1:26">
      <c r="A45" s="14" t="s">
        <v>69</v>
      </c>
      <c r="B45" s="15">
        <v>9755000000</v>
      </c>
      <c r="C45" s="16">
        <v>9709000000</v>
      </c>
      <c r="D45" s="16">
        <v>10427000000</v>
      </c>
      <c r="E45" s="16">
        <v>9992000000</v>
      </c>
      <c r="F45" s="16">
        <v>9363000000</v>
      </c>
      <c r="G45" s="16">
        <v>8658000000</v>
      </c>
      <c r="H45" s="16">
        <v>10274000000</v>
      </c>
      <c r="I45" s="16">
        <v>9087000000</v>
      </c>
      <c r="J45" s="16">
        <v>9255000000</v>
      </c>
      <c r="K45" s="16">
        <v>10043000000</v>
      </c>
      <c r="L45" s="16">
        <v>11216000000</v>
      </c>
      <c r="M45" s="16">
        <v>9610000000</v>
      </c>
      <c r="N45" s="16">
        <v>9517000000</v>
      </c>
      <c r="O45" s="16">
        <v>9867000000</v>
      </c>
      <c r="P45" s="16">
        <v>10523000000</v>
      </c>
      <c r="Q45" s="16">
        <v>9808000000</v>
      </c>
      <c r="R45" s="16">
        <v>8829000000</v>
      </c>
      <c r="S45" s="16">
        <v>8707000000</v>
      </c>
      <c r="T45" s="16">
        <v>9501000000</v>
      </c>
      <c r="U45" s="16">
        <v>9183000000</v>
      </c>
      <c r="V45" s="16">
        <v>8872000000</v>
      </c>
      <c r="W45" s="16">
        <v>9569000000</v>
      </c>
      <c r="X45" s="16">
        <v>9737000000</v>
      </c>
      <c r="Y45" s="16">
        <v>8923000000</v>
      </c>
      <c r="Z45" s="16">
        <v>0</v>
      </c>
    </row>
    <row r="46" customHeight="1" spans="1:26">
      <c r="A46" s="14" t="s">
        <v>70</v>
      </c>
      <c r="B46" s="15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</row>
    <row r="47" customHeight="1" spans="1:26">
      <c r="A47" s="14" t="s">
        <v>71</v>
      </c>
      <c r="B47" s="15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</row>
    <row r="48" customHeight="1" spans="1:26">
      <c r="A48" s="14" t="s">
        <v>72</v>
      </c>
      <c r="B48" s="15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</row>
    <row r="49" customHeight="1" spans="1:26">
      <c r="A49" s="14" t="s">
        <v>73</v>
      </c>
      <c r="B49" s="15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</row>
    <row r="50" customHeight="1" spans="1:26">
      <c r="A50" s="14" t="s">
        <v>74</v>
      </c>
      <c r="B50" s="15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</row>
    <row r="51" customHeight="1" spans="1:26">
      <c r="A51" s="14" t="s">
        <v>75</v>
      </c>
      <c r="B51" s="15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</row>
    <row r="52" customHeight="1" spans="1:26">
      <c r="A52" s="14" t="s">
        <v>76</v>
      </c>
      <c r="B52" s="15">
        <v>3379000000</v>
      </c>
      <c r="C52" s="16">
        <v>2055000000</v>
      </c>
      <c r="D52" s="16">
        <v>3057000000</v>
      </c>
      <c r="E52" s="16">
        <v>5157000000</v>
      </c>
      <c r="F52" s="16">
        <v>3181000000</v>
      </c>
      <c r="G52" s="16">
        <v>5037000000</v>
      </c>
      <c r="H52" s="16">
        <v>568000000</v>
      </c>
      <c r="I52" s="16">
        <v>1487000000</v>
      </c>
      <c r="J52" s="16">
        <v>644000000</v>
      </c>
      <c r="K52" s="16">
        <v>2113000000</v>
      </c>
      <c r="L52" s="16">
        <v>2585000000</v>
      </c>
      <c r="M52" s="16">
        <v>2543000000</v>
      </c>
      <c r="N52" s="16">
        <v>2483000000</v>
      </c>
      <c r="O52" s="16">
        <v>4728000000</v>
      </c>
      <c r="P52" s="16">
        <v>2704000000</v>
      </c>
      <c r="Q52" s="16">
        <v>9275000000</v>
      </c>
      <c r="R52" s="16">
        <v>4477000000</v>
      </c>
      <c r="S52" s="16">
        <v>8559000000</v>
      </c>
      <c r="T52" s="16">
        <v>4521000000</v>
      </c>
      <c r="U52" s="16">
        <v>3976000000</v>
      </c>
      <c r="V52" s="16">
        <v>5582000000</v>
      </c>
      <c r="W52" s="16">
        <v>4736000000</v>
      </c>
      <c r="X52" s="16">
        <v>4315000000</v>
      </c>
      <c r="Y52" s="16">
        <v>2029000000</v>
      </c>
      <c r="Z52" s="16">
        <v>0</v>
      </c>
    </row>
    <row r="53" customHeight="1" spans="1:26">
      <c r="A53" s="14" t="s">
        <v>77</v>
      </c>
      <c r="B53" s="15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</row>
    <row r="54" customHeight="1" spans="1:26">
      <c r="A54" s="14" t="s">
        <v>78</v>
      </c>
      <c r="B54" s="15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</row>
    <row r="55" customHeight="1" spans="1:26">
      <c r="A55" s="14" t="s">
        <v>79</v>
      </c>
      <c r="B55" s="15">
        <v>1309000000</v>
      </c>
      <c r="C55" s="16">
        <v>1317000000</v>
      </c>
      <c r="D55" s="16">
        <v>1320000000</v>
      </c>
      <c r="E55" s="16">
        <v>1302000000</v>
      </c>
      <c r="F55" s="16">
        <v>1301000000</v>
      </c>
      <c r="G55" s="16">
        <v>1314000000</v>
      </c>
      <c r="H55" s="16">
        <v>1316000000</v>
      </c>
      <c r="I55" s="16">
        <v>1292000000</v>
      </c>
      <c r="J55" s="16">
        <v>1292000000</v>
      </c>
      <c r="K55" s="16">
        <v>1307000000</v>
      </c>
      <c r="L55" s="16">
        <v>1309000000</v>
      </c>
      <c r="M55" s="16">
        <v>1288000000</v>
      </c>
      <c r="N55" s="16">
        <v>1295000000</v>
      </c>
      <c r="O55" s="16">
        <v>1306000000</v>
      </c>
      <c r="P55" s="16">
        <v>1308000000</v>
      </c>
      <c r="Q55" s="16">
        <v>2098000000</v>
      </c>
      <c r="R55" s="16">
        <v>2104000000</v>
      </c>
      <c r="S55" s="16">
        <v>2175000000</v>
      </c>
      <c r="T55" s="16">
        <v>1321000000</v>
      </c>
      <c r="U55" s="16">
        <v>1289000000</v>
      </c>
      <c r="V55" s="16">
        <v>1286000000</v>
      </c>
      <c r="W55" s="16">
        <v>1338000000</v>
      </c>
      <c r="X55" s="16">
        <v>1343000000</v>
      </c>
      <c r="Y55" s="16">
        <v>1315000000</v>
      </c>
      <c r="Z55" s="16">
        <v>0</v>
      </c>
    </row>
    <row r="56" customHeight="1" spans="1:26">
      <c r="A56" s="11" t="s">
        <v>80</v>
      </c>
      <c r="B56" s="12">
        <v>34383000000</v>
      </c>
      <c r="C56" s="13">
        <v>35413000000</v>
      </c>
      <c r="D56" s="13">
        <v>34922000000</v>
      </c>
      <c r="E56" s="13">
        <v>33961000000</v>
      </c>
      <c r="F56" s="13">
        <v>34583000000</v>
      </c>
      <c r="G56" s="13">
        <v>36901000000</v>
      </c>
      <c r="H56" s="13">
        <v>37865000000</v>
      </c>
      <c r="I56" s="13">
        <v>39036000000</v>
      </c>
      <c r="J56" s="13">
        <v>38200000000</v>
      </c>
      <c r="K56" s="13">
        <v>37381000000</v>
      </c>
      <c r="L56" s="13">
        <v>37900000000</v>
      </c>
      <c r="M56" s="13">
        <v>38062000000</v>
      </c>
      <c r="N56" s="13">
        <v>38626000000</v>
      </c>
      <c r="O56" s="13">
        <v>40138000000</v>
      </c>
      <c r="P56" s="13">
        <v>30922000000</v>
      </c>
      <c r="Q56" s="13">
        <v>30657000000</v>
      </c>
      <c r="R56" s="13">
        <v>31574000000</v>
      </c>
      <c r="S56" s="13">
        <v>36015000000</v>
      </c>
      <c r="T56" s="13">
        <v>38012000000</v>
      </c>
      <c r="U56" s="13">
        <v>40785000000</v>
      </c>
      <c r="V56" s="13">
        <v>40974000000</v>
      </c>
      <c r="W56" s="13">
        <v>34369000000</v>
      </c>
      <c r="X56" s="13">
        <v>34764000000</v>
      </c>
      <c r="Y56" s="13">
        <v>34971000000</v>
      </c>
      <c r="Z56" s="13">
        <v>0</v>
      </c>
    </row>
    <row r="57" customHeight="1" spans="1:26">
      <c r="A57" s="14" t="s">
        <v>81</v>
      </c>
      <c r="B57" s="15">
        <v>19959000000</v>
      </c>
      <c r="C57" s="16">
        <v>21501000000</v>
      </c>
      <c r="D57" s="16">
        <v>21353000000</v>
      </c>
      <c r="E57" s="16">
        <v>21838000000</v>
      </c>
      <c r="F57" s="16">
        <v>21706000000</v>
      </c>
      <c r="G57" s="16">
        <v>23437000000</v>
      </c>
      <c r="H57" s="16">
        <v>24274000000</v>
      </c>
      <c r="I57" s="16">
        <v>23656000000</v>
      </c>
      <c r="J57" s="16">
        <v>23642000000</v>
      </c>
      <c r="K57" s="16">
        <v>23656000000</v>
      </c>
      <c r="L57" s="16">
        <v>23929000000</v>
      </c>
      <c r="M57" s="16">
        <v>24124000000</v>
      </c>
      <c r="N57" s="16">
        <v>24069000000</v>
      </c>
      <c r="O57" s="16">
        <v>25506000000</v>
      </c>
      <c r="P57" s="16">
        <v>18699000000</v>
      </c>
      <c r="Q57" s="16">
        <v>18566000000</v>
      </c>
      <c r="R57" s="16">
        <v>18590000000</v>
      </c>
      <c r="S57" s="16">
        <v>19589000000</v>
      </c>
      <c r="T57" s="16">
        <v>20539000000</v>
      </c>
      <c r="U57" s="16">
        <v>22647000000</v>
      </c>
      <c r="V57" s="16">
        <v>22526000000</v>
      </c>
      <c r="W57" s="16">
        <v>16089000000</v>
      </c>
      <c r="X57" s="16">
        <v>16254000000</v>
      </c>
      <c r="Y57" s="16">
        <v>17571000000</v>
      </c>
      <c r="Z57" s="16">
        <v>0</v>
      </c>
    </row>
    <row r="58" customHeight="1" spans="1:26">
      <c r="A58" s="14" t="s">
        <v>82</v>
      </c>
      <c r="B58" s="15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</row>
    <row r="59" customHeight="1" spans="1:26">
      <c r="A59" s="14" t="s">
        <v>83</v>
      </c>
      <c r="B59" s="15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</row>
    <row r="60" customHeight="1" spans="1:26">
      <c r="A60" s="14" t="s">
        <v>84</v>
      </c>
      <c r="B60" s="15">
        <v>2159000000</v>
      </c>
      <c r="C60" s="16">
        <v>2206000000</v>
      </c>
      <c r="D60" s="16">
        <v>2219000000</v>
      </c>
      <c r="E60" s="16">
        <v>4159000000</v>
      </c>
      <c r="F60" s="16">
        <v>4560000000</v>
      </c>
      <c r="G60" s="16">
        <v>4889000000</v>
      </c>
      <c r="H60" s="16">
        <v>5077000000</v>
      </c>
      <c r="I60" s="16">
        <v>6374000000</v>
      </c>
      <c r="J60" s="16">
        <v>6091000000</v>
      </c>
      <c r="K60" s="16">
        <v>6256000000</v>
      </c>
      <c r="L60" s="16">
        <v>6535000000</v>
      </c>
      <c r="M60" s="16">
        <v>5959000000</v>
      </c>
      <c r="N60" s="16">
        <v>6454000000</v>
      </c>
      <c r="O60" s="16">
        <v>6803000000</v>
      </c>
      <c r="P60" s="16">
        <v>4266000000</v>
      </c>
      <c r="Q60" s="16">
        <v>4987000000</v>
      </c>
      <c r="R60" s="16">
        <v>4651000000</v>
      </c>
      <c r="S60" s="16">
        <v>5881000000</v>
      </c>
      <c r="T60" s="16">
        <v>6776000000</v>
      </c>
      <c r="U60" s="16">
        <v>15551000000</v>
      </c>
      <c r="V60" s="16">
        <v>15843000000</v>
      </c>
      <c r="W60" s="16">
        <v>15703000000</v>
      </c>
      <c r="X60" s="16">
        <v>16067000000</v>
      </c>
      <c r="Y60" s="16">
        <v>14935000000</v>
      </c>
      <c r="Z60" s="16">
        <v>0</v>
      </c>
    </row>
    <row r="61" customHeight="1" spans="1:26">
      <c r="A61" s="14" t="s">
        <v>85</v>
      </c>
      <c r="B61" s="15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</row>
    <row r="62" customHeight="1" spans="1:26">
      <c r="A62" s="14" t="s">
        <v>86</v>
      </c>
      <c r="B62" s="15">
        <v>12028000000</v>
      </c>
      <c r="C62" s="16">
        <v>11473000000</v>
      </c>
      <c r="D62" s="16">
        <v>11117000000</v>
      </c>
      <c r="E62" s="16">
        <v>7713000000</v>
      </c>
      <c r="F62" s="16">
        <v>8068000000</v>
      </c>
      <c r="G62" s="16">
        <v>8324000000</v>
      </c>
      <c r="H62" s="16">
        <v>8294000000</v>
      </c>
      <c r="I62" s="16">
        <v>8793000000</v>
      </c>
      <c r="J62" s="16">
        <v>8378000000</v>
      </c>
      <c r="K62" s="16">
        <v>7374000000</v>
      </c>
      <c r="L62" s="16">
        <v>7345000000</v>
      </c>
      <c r="M62" s="16">
        <v>7887000000</v>
      </c>
      <c r="N62" s="16">
        <v>7913000000</v>
      </c>
      <c r="O62" s="16">
        <v>7677000000</v>
      </c>
      <c r="P62" s="16">
        <v>7813000000</v>
      </c>
      <c r="Q62" s="16">
        <v>6968000000</v>
      </c>
      <c r="R62" s="16">
        <v>8175000000</v>
      </c>
      <c r="S62" s="16">
        <v>7956000000</v>
      </c>
      <c r="T62" s="16">
        <v>8136000000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</row>
    <row r="63" customHeight="1" spans="1:26">
      <c r="A63" s="14" t="s">
        <v>87</v>
      </c>
      <c r="B63" s="15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</row>
    <row r="64" customHeight="1" spans="1:26">
      <c r="A64" s="11" t="s">
        <v>88</v>
      </c>
      <c r="B64" s="12">
        <v>32529000000</v>
      </c>
      <c r="C64" s="13">
        <v>33668000000</v>
      </c>
      <c r="D64" s="13">
        <v>34336000000</v>
      </c>
      <c r="E64" s="13">
        <v>38248000000</v>
      </c>
      <c r="F64" s="13">
        <v>39463000000</v>
      </c>
      <c r="G64" s="13">
        <v>39837000000</v>
      </c>
      <c r="H64" s="13">
        <v>40088000000</v>
      </c>
      <c r="I64" s="13">
        <v>43744000000</v>
      </c>
      <c r="J64" s="13">
        <v>43357000000</v>
      </c>
      <c r="K64" s="13">
        <v>43806000000</v>
      </c>
      <c r="L64" s="13">
        <v>44676000000</v>
      </c>
      <c r="M64" s="13">
        <v>45587000000</v>
      </c>
      <c r="N64" s="13">
        <v>46448000000</v>
      </c>
      <c r="O64" s="13">
        <v>47765000000</v>
      </c>
      <c r="P64" s="13">
        <v>48647000000</v>
      </c>
      <c r="Q64" s="13">
        <v>45224000000</v>
      </c>
      <c r="R64" s="13">
        <v>48358000000</v>
      </c>
      <c r="S64" s="13">
        <v>49975000000</v>
      </c>
      <c r="T64" s="13">
        <v>49765000000</v>
      </c>
      <c r="U64" s="13">
        <v>47419000000</v>
      </c>
      <c r="V64" s="13">
        <v>47500000000</v>
      </c>
      <c r="W64" s="13">
        <v>53029000000</v>
      </c>
      <c r="X64" s="13">
        <v>53020000000</v>
      </c>
      <c r="Y64" s="13">
        <v>55747000000</v>
      </c>
      <c r="Z64" s="13">
        <v>55194000000</v>
      </c>
    </row>
    <row r="65" customHeight="1" spans="1:26">
      <c r="A65" s="14" t="s">
        <v>89</v>
      </c>
      <c r="B65" s="15">
        <v>39741000000</v>
      </c>
      <c r="C65" s="16">
        <v>39874000000</v>
      </c>
      <c r="D65" s="16">
        <v>39902000000</v>
      </c>
      <c r="E65" s="16">
        <v>39823000000</v>
      </c>
      <c r="F65" s="16">
        <v>39776000000</v>
      </c>
      <c r="G65" s="16">
        <v>39899000000</v>
      </c>
      <c r="H65" s="16">
        <v>39939000000</v>
      </c>
      <c r="I65" s="16">
        <v>39897000000</v>
      </c>
      <c r="J65" s="16">
        <v>39911000000</v>
      </c>
      <c r="K65" s="16">
        <v>40145000000</v>
      </c>
      <c r="L65" s="16">
        <v>40222000000</v>
      </c>
      <c r="M65" s="16">
        <v>40139000000</v>
      </c>
      <c r="N65" s="16">
        <v>40114000000</v>
      </c>
      <c r="O65" s="16">
        <v>40355000000</v>
      </c>
      <c r="P65" s="16">
        <v>40423000000</v>
      </c>
      <c r="Q65" s="16">
        <v>40340000000</v>
      </c>
      <c r="R65" s="16">
        <v>40199000000</v>
      </c>
      <c r="S65" s="16">
        <v>40450000000</v>
      </c>
      <c r="T65" s="16">
        <v>40508000000</v>
      </c>
      <c r="U65" s="16">
        <v>39909000000</v>
      </c>
      <c r="V65" s="16">
        <v>39891000000</v>
      </c>
      <c r="W65" s="16">
        <v>40727000000</v>
      </c>
      <c r="X65" s="16">
        <v>40646000000</v>
      </c>
      <c r="Y65" s="16">
        <v>40471000000</v>
      </c>
      <c r="Z65" s="16">
        <v>0</v>
      </c>
    </row>
    <row r="66" customHeight="1" spans="1:26">
      <c r="A66" s="14" t="s">
        <v>90</v>
      </c>
      <c r="B66" s="15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</row>
    <row r="67" customHeight="1" spans="1:26">
      <c r="A67" s="14" t="s">
        <v>91</v>
      </c>
      <c r="B67" s="15">
        <v>1788000000</v>
      </c>
      <c r="C67" s="16">
        <v>1788000000</v>
      </c>
      <c r="D67" s="16">
        <v>1788000000</v>
      </c>
      <c r="E67" s="16">
        <v>1788000000</v>
      </c>
      <c r="F67" s="16">
        <v>1788000000</v>
      </c>
      <c r="G67" s="16">
        <v>1788000000</v>
      </c>
      <c r="H67" s="16">
        <v>1788000000</v>
      </c>
      <c r="I67" s="16">
        <v>1788000000</v>
      </c>
      <c r="J67" s="16">
        <v>1788000000</v>
      </c>
      <c r="K67" s="16">
        <v>1788000000</v>
      </c>
      <c r="L67" s="16">
        <v>1788000000</v>
      </c>
      <c r="M67" s="16">
        <v>1788000000</v>
      </c>
      <c r="N67" s="16">
        <v>1788000000</v>
      </c>
      <c r="O67" s="16">
        <v>1788000000</v>
      </c>
      <c r="P67" s="16">
        <v>1788000000</v>
      </c>
      <c r="Q67" s="16">
        <v>1788000000</v>
      </c>
      <c r="R67" s="16">
        <v>1788000000</v>
      </c>
      <c r="S67" s="16">
        <v>1788000000</v>
      </c>
      <c r="T67" s="16">
        <v>1788000000</v>
      </c>
      <c r="U67" s="16">
        <v>1788000000</v>
      </c>
      <c r="V67" s="16">
        <v>1788000000</v>
      </c>
      <c r="W67" s="16">
        <v>1788000000</v>
      </c>
      <c r="X67" s="16">
        <v>1788000000</v>
      </c>
      <c r="Y67" s="16">
        <v>1788000000</v>
      </c>
      <c r="Z67" s="16">
        <v>0</v>
      </c>
    </row>
    <row r="68" customHeight="1" spans="1:26">
      <c r="A68" s="14" t="s">
        <v>92</v>
      </c>
      <c r="B68" s="15">
        <v>41523000000</v>
      </c>
      <c r="C68" s="16">
        <v>41107000000</v>
      </c>
      <c r="D68" s="16">
        <v>41350000000</v>
      </c>
      <c r="E68" s="16">
        <v>43701000000</v>
      </c>
      <c r="F68" s="16">
        <v>45046000000</v>
      </c>
      <c r="G68" s="16">
        <v>44387000000</v>
      </c>
      <c r="H68" s="16">
        <v>44133000000</v>
      </c>
      <c r="I68" s="16">
        <v>46028000000</v>
      </c>
      <c r="J68" s="16">
        <v>45121000000</v>
      </c>
      <c r="K68" s="16">
        <v>45192000000</v>
      </c>
      <c r="L68" s="16">
        <v>45348000000</v>
      </c>
      <c r="M68" s="16">
        <v>45660000000</v>
      </c>
      <c r="N68" s="16">
        <v>45103000000</v>
      </c>
      <c r="O68" s="16">
        <v>45692000000</v>
      </c>
      <c r="P68" s="16">
        <v>46021000000</v>
      </c>
      <c r="Q68" s="16">
        <v>39989000000</v>
      </c>
      <c r="R68" s="16">
        <v>40366000000</v>
      </c>
      <c r="S68" s="16">
        <v>39661000000</v>
      </c>
      <c r="T68" s="16">
        <v>39257000000</v>
      </c>
      <c r="U68" s="16">
        <v>39773000000</v>
      </c>
      <c r="V68" s="16">
        <v>39915000000</v>
      </c>
      <c r="W68" s="16">
        <v>40272000000</v>
      </c>
      <c r="X68" s="16">
        <v>39985000000</v>
      </c>
      <c r="Y68" s="16">
        <v>40390000000</v>
      </c>
      <c r="Z68" s="16">
        <v>0</v>
      </c>
    </row>
    <row r="69" customHeight="1" spans="1:26">
      <c r="A69" s="14" t="s">
        <v>93</v>
      </c>
      <c r="B69" s="15">
        <v>-45401000000</v>
      </c>
      <c r="C69" s="16">
        <v>-44041000000</v>
      </c>
      <c r="D69" s="16">
        <v>-43794000000</v>
      </c>
      <c r="E69" s="16">
        <v>-42119000000</v>
      </c>
      <c r="F69" s="16">
        <v>-42053000000</v>
      </c>
      <c r="G69" s="16">
        <v>-41157000000</v>
      </c>
      <c r="H69" s="16">
        <v>-40546000000</v>
      </c>
      <c r="I69" s="16">
        <v>-39717000000</v>
      </c>
      <c r="J69" s="16">
        <v>-39377000000</v>
      </c>
      <c r="K69" s="16">
        <v>-39125000000</v>
      </c>
      <c r="L69" s="16">
        <v>-38534000000</v>
      </c>
      <c r="M69" s="16">
        <v>-37427000000</v>
      </c>
      <c r="N69" s="16">
        <v>-36225000000</v>
      </c>
      <c r="O69" s="16">
        <v>-35903000000</v>
      </c>
      <c r="P69" s="16">
        <v>-35262000000</v>
      </c>
      <c r="Q69" s="16">
        <v>-33895000000</v>
      </c>
      <c r="R69" s="16">
        <v>-31551000000</v>
      </c>
      <c r="S69" s="16">
        <v>-29745000000</v>
      </c>
      <c r="T69" s="16">
        <v>-29591000000</v>
      </c>
      <c r="U69" s="16">
        <v>-29353000000</v>
      </c>
      <c r="V69" s="16">
        <v>-29334000000</v>
      </c>
      <c r="W69" s="16">
        <v>-25129000000</v>
      </c>
      <c r="X69" s="16">
        <v>-24717000000</v>
      </c>
      <c r="Y69" s="16">
        <v>-23862000000</v>
      </c>
      <c r="Z69" s="16">
        <v>0</v>
      </c>
    </row>
    <row r="70" customHeight="1" spans="1:26">
      <c r="A70" s="14" t="s">
        <v>94</v>
      </c>
      <c r="B70" s="15">
        <v>-5122000000</v>
      </c>
      <c r="C70" s="16">
        <v>-5060000000</v>
      </c>
      <c r="D70" s="16">
        <v>-4910000000</v>
      </c>
      <c r="E70" s="16">
        <v>-4945000000</v>
      </c>
      <c r="F70" s="16">
        <v>-5094000000</v>
      </c>
      <c r="G70" s="16">
        <v>-5080000000</v>
      </c>
      <c r="H70" s="16">
        <v>-5226000000</v>
      </c>
      <c r="I70" s="16">
        <v>-4252000000</v>
      </c>
      <c r="J70" s="16">
        <v>-4086000000</v>
      </c>
      <c r="K70" s="16">
        <v>-4194000000</v>
      </c>
      <c r="L70" s="16">
        <v>-4148000000</v>
      </c>
      <c r="M70" s="16">
        <v>-4573000000</v>
      </c>
      <c r="N70" s="16">
        <v>-4332000000</v>
      </c>
      <c r="O70" s="16">
        <v>-4167000000</v>
      </c>
      <c r="P70" s="16">
        <v>-4323000000</v>
      </c>
      <c r="Q70" s="16">
        <v>-2998000000</v>
      </c>
      <c r="R70" s="16">
        <v>-2444000000</v>
      </c>
      <c r="S70" s="16">
        <v>-2179000000</v>
      </c>
      <c r="T70" s="16">
        <v>-2197000000</v>
      </c>
      <c r="U70" s="16">
        <v>-4698000000</v>
      </c>
      <c r="V70" s="16">
        <v>-4760000000</v>
      </c>
      <c r="W70" s="16">
        <v>-4629000000</v>
      </c>
      <c r="X70" s="16">
        <v>-4682000000</v>
      </c>
      <c r="Y70" s="16">
        <v>-3040000000</v>
      </c>
      <c r="Z70" s="16">
        <v>0</v>
      </c>
    </row>
    <row r="71" customHeight="1" spans="1:26">
      <c r="A71" s="20"/>
      <c r="B71" s="15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30.75" customHeight="1" spans="1:26">
      <c r="A72" s="21" t="s">
        <v>95</v>
      </c>
      <c r="B72" s="15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customHeight="1" spans="1:26">
      <c r="A73" s="11" t="s">
        <v>96</v>
      </c>
      <c r="B73" s="12">
        <v>3382000000</v>
      </c>
      <c r="C73" s="13">
        <v>1155000000</v>
      </c>
      <c r="D73" s="13">
        <v>4015000000</v>
      </c>
      <c r="E73" s="13">
        <v>-1171000000</v>
      </c>
      <c r="F73" s="13">
        <v>3317000000</v>
      </c>
      <c r="G73" s="13">
        <v>286000000</v>
      </c>
      <c r="H73" s="13">
        <v>3632000000</v>
      </c>
      <c r="I73" s="13">
        <v>2971000000</v>
      </c>
      <c r="J73" s="13">
        <v>1615000000</v>
      </c>
      <c r="K73" s="13">
        <v>2158000000</v>
      </c>
      <c r="L73" s="13">
        <v>4247000000</v>
      </c>
      <c r="M73" s="13">
        <v>3305000000</v>
      </c>
      <c r="N73" s="13">
        <v>2585000000</v>
      </c>
      <c r="O73" s="13">
        <v>2284000000</v>
      </c>
      <c r="P73" s="13">
        <v>-1164000000</v>
      </c>
      <c r="Q73" s="13">
        <v>4348000000</v>
      </c>
      <c r="R73" s="13">
        <v>2315000000</v>
      </c>
      <c r="S73" s="13">
        <v>2361000000</v>
      </c>
      <c r="T73" s="13">
        <v>3026000000</v>
      </c>
      <c r="U73" s="13">
        <v>3949000000</v>
      </c>
      <c r="V73" s="13">
        <v>2338000000</v>
      </c>
      <c r="W73" s="13">
        <v>2341000000</v>
      </c>
      <c r="X73" s="13">
        <v>1809000000</v>
      </c>
      <c r="Y73" s="13">
        <v>3139000000</v>
      </c>
      <c r="Z73" s="13">
        <v>0</v>
      </c>
    </row>
    <row r="74" customHeight="1" spans="1:26">
      <c r="A74" s="11" t="s">
        <v>97</v>
      </c>
      <c r="B74" s="12">
        <v>1716000000</v>
      </c>
      <c r="C74" s="13">
        <v>741000000</v>
      </c>
      <c r="D74" s="13">
        <v>-1038000000</v>
      </c>
      <c r="E74" s="13">
        <v>-51000000</v>
      </c>
      <c r="F74" s="13">
        <v>1951000000</v>
      </c>
      <c r="G74" s="13">
        <v>1556000000</v>
      </c>
      <c r="H74" s="13">
        <v>-587000000</v>
      </c>
      <c r="I74" s="13">
        <v>2189000000</v>
      </c>
      <c r="J74" s="13">
        <v>1209000000</v>
      </c>
      <c r="K74" s="13">
        <v>1130000000</v>
      </c>
      <c r="L74" s="13">
        <v>982000000</v>
      </c>
      <c r="M74" s="13">
        <v>1831000000</v>
      </c>
      <c r="N74" s="13">
        <v>688000000</v>
      </c>
      <c r="O74" s="13">
        <v>958000000</v>
      </c>
      <c r="P74" s="13">
        <v>7327000000</v>
      </c>
      <c r="Q74" s="13">
        <v>843000000</v>
      </c>
      <c r="R74" s="13">
        <v>2033000000</v>
      </c>
      <c r="S74" s="13">
        <v>1731000000</v>
      </c>
      <c r="T74" s="13">
        <v>815000000</v>
      </c>
      <c r="U74" s="13">
        <v>1151000000</v>
      </c>
      <c r="V74" s="13">
        <v>935000000</v>
      </c>
      <c r="W74" s="13">
        <v>1616000000</v>
      </c>
      <c r="X74" s="13">
        <v>949000000</v>
      </c>
      <c r="Y74" s="13">
        <v>1763000000</v>
      </c>
      <c r="Z74" s="13">
        <v>0</v>
      </c>
    </row>
    <row r="75" customHeight="1" spans="1:26">
      <c r="A75" s="14" t="s">
        <v>98</v>
      </c>
      <c r="B75" s="15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</row>
    <row r="76" customHeight="1" spans="1:26">
      <c r="A76" s="14" t="s">
        <v>99</v>
      </c>
      <c r="B76" s="15">
        <v>1226000000</v>
      </c>
      <c r="C76" s="16">
        <v>1137000000</v>
      </c>
      <c r="D76" s="16">
        <v>1128000000</v>
      </c>
      <c r="E76" s="16">
        <v>1154000000</v>
      </c>
      <c r="F76" s="16">
        <v>1162000000</v>
      </c>
      <c r="G76" s="16">
        <v>1193000000</v>
      </c>
      <c r="H76" s="16">
        <v>1155000000</v>
      </c>
      <c r="I76" s="16">
        <v>1175000000</v>
      </c>
      <c r="J76" s="16">
        <v>1550000000</v>
      </c>
      <c r="K76" s="16">
        <v>1561000000</v>
      </c>
      <c r="L76" s="16">
        <v>1560000000</v>
      </c>
      <c r="M76" s="16">
        <v>1570000000</v>
      </c>
      <c r="N76" s="16">
        <v>1608000000</v>
      </c>
      <c r="O76" s="16">
        <v>1637000000</v>
      </c>
      <c r="P76" s="16">
        <v>1573000000</v>
      </c>
      <c r="Q76" s="16">
        <v>1611000000</v>
      </c>
      <c r="R76" s="16">
        <v>1753000000</v>
      </c>
      <c r="S76" s="16">
        <v>1754000000</v>
      </c>
      <c r="T76" s="16">
        <v>1954000000</v>
      </c>
      <c r="U76" s="16">
        <v>1705000000</v>
      </c>
      <c r="V76" s="16">
        <v>1655000000</v>
      </c>
      <c r="W76" s="16">
        <v>1674000000</v>
      </c>
      <c r="X76" s="16">
        <v>1661000000</v>
      </c>
      <c r="Y76" s="16">
        <v>1723000000</v>
      </c>
      <c r="Z76" s="16">
        <v>0</v>
      </c>
    </row>
    <row r="77" customHeight="1" spans="1:26">
      <c r="A77" s="14" t="s">
        <v>100</v>
      </c>
      <c r="B77" s="15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</row>
    <row r="78" customHeight="1" spans="1:26">
      <c r="A78" s="14" t="s">
        <v>101</v>
      </c>
      <c r="B78" s="15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</row>
    <row r="79" customHeight="1" spans="1:26">
      <c r="A79" s="14" t="s">
        <v>102</v>
      </c>
      <c r="B79" s="15">
        <v>0</v>
      </c>
      <c r="C79" s="16">
        <v>0</v>
      </c>
      <c r="D79" s="16">
        <v>270000000</v>
      </c>
      <c r="E79" s="16">
        <v>245000000</v>
      </c>
      <c r="F79" s="16">
        <v>51000000</v>
      </c>
      <c r="G79" s="16">
        <v>80000000</v>
      </c>
      <c r="H79" s="16">
        <v>3376000000</v>
      </c>
      <c r="I79" s="16">
        <v>5000000</v>
      </c>
      <c r="J79" s="16">
        <v>290000000</v>
      </c>
      <c r="K79" s="16">
        <v>277000000</v>
      </c>
      <c r="L79" s="16">
        <v>82000000</v>
      </c>
      <c r="M79" s="16">
        <v>7000000</v>
      </c>
      <c r="N79" s="16">
        <v>59000000</v>
      </c>
      <c r="O79" s="16">
        <v>14000000</v>
      </c>
      <c r="P79" s="16">
        <v>13000000</v>
      </c>
      <c r="Q79" s="16">
        <v>549000000</v>
      </c>
      <c r="R79" s="16">
        <v>660000000</v>
      </c>
      <c r="S79" s="16">
        <v>0</v>
      </c>
      <c r="T79" s="16">
        <v>171000000</v>
      </c>
      <c r="U79" s="16">
        <v>0</v>
      </c>
      <c r="V79" s="16">
        <v>564000000</v>
      </c>
      <c r="W79" s="16">
        <v>30000000</v>
      </c>
      <c r="X79" s="16">
        <v>24000000</v>
      </c>
      <c r="Y79" s="16">
        <v>40000000</v>
      </c>
      <c r="Z79" s="16">
        <v>0</v>
      </c>
    </row>
    <row r="80" customHeight="1" spans="1:26">
      <c r="A80" s="14" t="s">
        <v>103</v>
      </c>
      <c r="B80" s="15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</row>
    <row r="81" customHeight="1" spans="1:26">
      <c r="A81" s="14" t="s">
        <v>104</v>
      </c>
      <c r="B81" s="15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</row>
    <row r="82" customHeight="1" spans="1:26">
      <c r="A82" s="14" t="s">
        <v>105</v>
      </c>
      <c r="B82" s="15">
        <v>90000000</v>
      </c>
      <c r="C82" s="16">
        <v>80000000</v>
      </c>
      <c r="D82" s="16">
        <v>80000000</v>
      </c>
      <c r="E82" s="16">
        <v>76000000</v>
      </c>
      <c r="F82" s="16">
        <v>82000000</v>
      </c>
      <c r="G82" s="16">
        <v>74000000</v>
      </c>
      <c r="H82" s="16">
        <v>75000000</v>
      </c>
      <c r="I82" s="16">
        <v>77000000</v>
      </c>
      <c r="J82" s="16">
        <v>80000000</v>
      </c>
      <c r="K82" s="16">
        <v>68000000</v>
      </c>
      <c r="L82" s="16">
        <v>78000000</v>
      </c>
      <c r="M82" s="16">
        <v>75000000</v>
      </c>
      <c r="N82" s="16">
        <v>83000000</v>
      </c>
      <c r="O82" s="16">
        <v>63000000</v>
      </c>
      <c r="P82" s="16">
        <v>69000000</v>
      </c>
      <c r="Q82" s="16">
        <v>75000000</v>
      </c>
      <c r="R82" s="16">
        <v>78000000</v>
      </c>
      <c r="S82" s="16">
        <v>56000000</v>
      </c>
      <c r="T82" s="16">
        <v>66000000</v>
      </c>
      <c r="U82" s="16">
        <v>68000000</v>
      </c>
      <c r="V82" s="16">
        <v>75000000</v>
      </c>
      <c r="W82" s="16">
        <v>67000000</v>
      </c>
      <c r="X82" s="16">
        <v>78000000</v>
      </c>
      <c r="Y82" s="16">
        <v>88000000</v>
      </c>
      <c r="Z82" s="16">
        <v>0</v>
      </c>
    </row>
    <row r="83" customHeight="1" spans="1:26">
      <c r="A83" s="14" t="s">
        <v>37</v>
      </c>
      <c r="B83" s="15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</row>
    <row r="84" customHeight="1" spans="1:26">
      <c r="A84" s="14" t="s">
        <v>43</v>
      </c>
      <c r="B84" s="15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</row>
    <row r="85" customHeight="1" spans="1:26">
      <c r="A85" s="14" t="s">
        <v>46</v>
      </c>
      <c r="B85" s="15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</row>
    <row r="86" customHeight="1" spans="1:26">
      <c r="A86" s="14" t="s">
        <v>39</v>
      </c>
      <c r="B86" s="15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</row>
    <row r="87" customHeight="1" spans="1:26">
      <c r="A87" s="14" t="s">
        <v>73</v>
      </c>
      <c r="B87" s="15">
        <v>0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</row>
    <row r="88" customHeight="1" spans="1:26">
      <c r="A88" s="14" t="s">
        <v>106</v>
      </c>
      <c r="B88" s="15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</row>
    <row r="89" customHeight="1" spans="1:26">
      <c r="A89" s="14" t="s">
        <v>69</v>
      </c>
      <c r="B89" s="15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</row>
    <row r="90" customHeight="1" spans="1:26">
      <c r="A90" s="14" t="s">
        <v>107</v>
      </c>
      <c r="B90" s="15">
        <v>199000000</v>
      </c>
      <c r="C90" s="16">
        <v>-1473000000</v>
      </c>
      <c r="D90" s="16">
        <v>238000000</v>
      </c>
      <c r="E90" s="16">
        <v>-2922000000</v>
      </c>
      <c r="F90" s="16">
        <v>198000000</v>
      </c>
      <c r="G90" s="16">
        <v>-2535000000</v>
      </c>
      <c r="H90" s="16">
        <v>401000000</v>
      </c>
      <c r="I90" s="16">
        <v>-564000000</v>
      </c>
      <c r="J90" s="16">
        <v>-1563000000</v>
      </c>
      <c r="K90" s="16">
        <v>-875000000</v>
      </c>
      <c r="L90" s="16">
        <v>519000000</v>
      </c>
      <c r="M90" s="16">
        <v>223000000</v>
      </c>
      <c r="N90" s="16">
        <v>-392000000</v>
      </c>
      <c r="O90" s="16">
        <v>-618000000</v>
      </c>
      <c r="P90" s="16">
        <v>874000000</v>
      </c>
      <c r="Q90" s="16">
        <v>2068000000</v>
      </c>
      <c r="R90" s="16">
        <v>-415000000</v>
      </c>
      <c r="S90" s="16">
        <v>-703000000</v>
      </c>
      <c r="T90" s="16">
        <v>-300000000</v>
      </c>
      <c r="U90" s="16">
        <v>1315000000</v>
      </c>
      <c r="V90" s="16">
        <v>-636000000</v>
      </c>
      <c r="W90" s="16">
        <v>-1173000000</v>
      </c>
      <c r="X90" s="16">
        <v>-1795000000</v>
      </c>
      <c r="Y90" s="16">
        <v>-282000000</v>
      </c>
      <c r="Z90" s="16">
        <v>0</v>
      </c>
    </row>
    <row r="91" customHeight="1" spans="1:26">
      <c r="A91" s="14" t="s">
        <v>108</v>
      </c>
      <c r="B91" s="15">
        <v>379000000</v>
      </c>
      <c r="C91" s="16">
        <v>700000000</v>
      </c>
      <c r="D91" s="16">
        <v>5357000000</v>
      </c>
      <c r="E91" s="16">
        <v>656000000</v>
      </c>
      <c r="F91" s="16">
        <v>91000000</v>
      </c>
      <c r="G91" s="16">
        <v>-28000000</v>
      </c>
      <c r="H91" s="16">
        <v>664000000</v>
      </c>
      <c r="I91" s="16">
        <v>34000000</v>
      </c>
      <c r="J91" s="16">
        <v>99000000</v>
      </c>
      <c r="K91" s="16">
        <v>67000000</v>
      </c>
      <c r="L91" s="16">
        <v>944000000</v>
      </c>
      <c r="M91" s="16">
        <v>62000000</v>
      </c>
      <c r="N91" s="16">
        <v>743000000</v>
      </c>
      <c r="O91" s="16">
        <v>409000000</v>
      </c>
      <c r="P91" s="16">
        <v>-10193000000</v>
      </c>
      <c r="Q91" s="16">
        <v>-271000000</v>
      </c>
      <c r="R91" s="16">
        <v>-852000000</v>
      </c>
      <c r="S91" s="16">
        <v>-173000000</v>
      </c>
      <c r="T91" s="16">
        <v>118000000</v>
      </c>
      <c r="U91" s="16">
        <v>-77000000</v>
      </c>
      <c r="V91" s="16">
        <v>-7000000</v>
      </c>
      <c r="W91" s="16">
        <v>198000000</v>
      </c>
      <c r="X91" s="16">
        <v>-60000000</v>
      </c>
      <c r="Y91" s="16">
        <v>-275000000</v>
      </c>
      <c r="Z91" s="16">
        <v>0</v>
      </c>
    </row>
    <row r="92" customHeight="1" spans="1:26">
      <c r="A92" s="14" t="s">
        <v>109</v>
      </c>
      <c r="B92" s="15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</row>
    <row r="93" customHeight="1" spans="1:26">
      <c r="A93" s="14" t="s">
        <v>110</v>
      </c>
      <c r="B93" s="15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</row>
    <row r="94" s="3" customFormat="1" customHeight="1" spans="1:256">
      <c r="A94" s="17" t="s">
        <v>111</v>
      </c>
      <c r="B94" s="13">
        <f t="shared" ref="B94:Y94" si="2">C94+B73</f>
        <v>58243000000</v>
      </c>
      <c r="C94" s="13">
        <f t="shared" si="2"/>
        <v>54861000000</v>
      </c>
      <c r="D94" s="13">
        <f t="shared" si="2"/>
        <v>53706000000</v>
      </c>
      <c r="E94" s="13">
        <f t="shared" si="2"/>
        <v>49691000000</v>
      </c>
      <c r="F94" s="13">
        <f t="shared" si="2"/>
        <v>50862000000</v>
      </c>
      <c r="G94" s="13">
        <f t="shared" si="2"/>
        <v>47545000000</v>
      </c>
      <c r="H94" s="13">
        <f t="shared" si="2"/>
        <v>47259000000</v>
      </c>
      <c r="I94" s="13">
        <f t="shared" si="2"/>
        <v>43627000000</v>
      </c>
      <c r="J94" s="13">
        <f t="shared" si="2"/>
        <v>40656000000</v>
      </c>
      <c r="K94" s="13">
        <f t="shared" si="2"/>
        <v>39041000000</v>
      </c>
      <c r="L94" s="13">
        <f t="shared" si="2"/>
        <v>36883000000</v>
      </c>
      <c r="M94" s="13">
        <f t="shared" si="2"/>
        <v>32636000000</v>
      </c>
      <c r="N94" s="13">
        <f t="shared" si="2"/>
        <v>29331000000</v>
      </c>
      <c r="O94" s="13">
        <f t="shared" si="2"/>
        <v>26746000000</v>
      </c>
      <c r="P94" s="13">
        <f t="shared" si="2"/>
        <v>24462000000</v>
      </c>
      <c r="Q94" s="13">
        <f t="shared" si="2"/>
        <v>25626000000</v>
      </c>
      <c r="R94" s="13">
        <f t="shared" si="2"/>
        <v>21278000000</v>
      </c>
      <c r="S94" s="13">
        <f t="shared" si="2"/>
        <v>18963000000</v>
      </c>
      <c r="T94" s="13">
        <f t="shared" si="2"/>
        <v>16602000000</v>
      </c>
      <c r="U94" s="13">
        <f t="shared" si="2"/>
        <v>13576000000</v>
      </c>
      <c r="V94" s="13">
        <f t="shared" si="2"/>
        <v>9627000000</v>
      </c>
      <c r="W94" s="13">
        <f t="shared" si="2"/>
        <v>7289000000</v>
      </c>
      <c r="X94" s="13">
        <f t="shared" si="2"/>
        <v>4948000000</v>
      </c>
      <c r="Y94" s="13">
        <f t="shared" si="2"/>
        <v>3139000000</v>
      </c>
      <c r="Z94" s="13">
        <f>Z73</f>
        <v>0</v>
      </c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  <c r="FJ94" s="19"/>
      <c r="FK94" s="19"/>
      <c r="FL94" s="19"/>
      <c r="FM94" s="19"/>
      <c r="FN94" s="19"/>
      <c r="FO94" s="19"/>
      <c r="FP94" s="19"/>
      <c r="FQ94" s="19"/>
      <c r="FR94" s="19"/>
      <c r="FS94" s="19"/>
      <c r="FT94" s="19"/>
      <c r="FU94" s="19"/>
      <c r="FV94" s="19"/>
      <c r="FW94" s="19"/>
      <c r="FX94" s="19"/>
      <c r="FY94" s="19"/>
      <c r="FZ94" s="19"/>
      <c r="GA94" s="19"/>
      <c r="GB94" s="19"/>
      <c r="GC94" s="19"/>
      <c r="GD94" s="19"/>
      <c r="GE94" s="19"/>
      <c r="GF94" s="19"/>
      <c r="GG94" s="19"/>
      <c r="GH94" s="19"/>
      <c r="GI94" s="19"/>
      <c r="GJ94" s="19"/>
      <c r="GK94" s="19"/>
      <c r="GL94" s="19"/>
      <c r="GM94" s="19"/>
      <c r="GN94" s="19"/>
      <c r="GO94" s="19"/>
      <c r="GP94" s="19"/>
      <c r="GQ94" s="19"/>
      <c r="GR94" s="19"/>
      <c r="GS94" s="19"/>
      <c r="GT94" s="19"/>
      <c r="GU94" s="19"/>
      <c r="GV94" s="19"/>
      <c r="GW94" s="19"/>
      <c r="GX94" s="19"/>
      <c r="GY94" s="19"/>
      <c r="GZ94" s="19"/>
      <c r="HA94" s="19"/>
      <c r="HB94" s="19"/>
      <c r="HC94" s="19"/>
      <c r="HD94" s="19"/>
      <c r="HE94" s="19"/>
      <c r="HF94" s="19"/>
      <c r="HG94" s="19"/>
      <c r="HH94" s="19"/>
      <c r="HI94" s="19"/>
      <c r="HJ94" s="19"/>
      <c r="HK94" s="19"/>
      <c r="HL94" s="19"/>
      <c r="HM94" s="19"/>
      <c r="HN94" s="19"/>
      <c r="HO94" s="19"/>
      <c r="HP94" s="19"/>
      <c r="HQ94" s="19"/>
      <c r="HR94" s="19"/>
      <c r="HS94" s="19"/>
      <c r="HT94" s="19"/>
      <c r="HU94" s="19"/>
      <c r="HV94" s="19"/>
      <c r="HW94" s="19"/>
      <c r="HX94" s="19"/>
      <c r="HY94" s="19"/>
      <c r="HZ94" s="19"/>
      <c r="IA94" s="19"/>
      <c r="IB94" s="19"/>
      <c r="IC94" s="19"/>
      <c r="ID94" s="19"/>
      <c r="IE94" s="19"/>
      <c r="IF94" s="19"/>
      <c r="IG94" s="19"/>
      <c r="IH94" s="19"/>
      <c r="II94" s="19"/>
      <c r="IJ94" s="19"/>
      <c r="IK94" s="19"/>
      <c r="IL94" s="19"/>
      <c r="IM94" s="19"/>
      <c r="IN94" s="19"/>
      <c r="IO94" s="19"/>
      <c r="IP94" s="19"/>
      <c r="IQ94" s="19"/>
      <c r="IR94" s="19"/>
      <c r="IS94" s="19"/>
      <c r="IT94" s="19"/>
      <c r="IU94" s="19"/>
      <c r="IV94" s="19"/>
    </row>
    <row r="95" customHeight="1" spans="1:26">
      <c r="A95" s="11" t="s">
        <v>112</v>
      </c>
      <c r="B95" s="12">
        <v>673000000</v>
      </c>
      <c r="C95" s="13">
        <v>-197000000</v>
      </c>
      <c r="D95" s="13">
        <v>-58000000</v>
      </c>
      <c r="E95" s="13">
        <v>671000000</v>
      </c>
      <c r="F95" s="13">
        <v>-1127000000</v>
      </c>
      <c r="G95" s="13">
        <v>3193000000</v>
      </c>
      <c r="H95" s="13">
        <v>-2563000000</v>
      </c>
      <c r="I95" s="13">
        <v>-890000000</v>
      </c>
      <c r="J95" s="13">
        <v>-1498000000</v>
      </c>
      <c r="K95" s="13">
        <v>1741000000</v>
      </c>
      <c r="L95" s="13">
        <v>-617000000</v>
      </c>
      <c r="M95" s="13">
        <v>-61000000</v>
      </c>
      <c r="N95" s="13">
        <v>2525000000</v>
      </c>
      <c r="O95" s="13">
        <v>-6605000000</v>
      </c>
      <c r="P95" s="13">
        <v>7204000000</v>
      </c>
      <c r="Q95" s="13">
        <v>-3722000000</v>
      </c>
      <c r="R95" s="13">
        <v>-49000000</v>
      </c>
      <c r="S95" s="13">
        <v>-3807000000</v>
      </c>
      <c r="T95" s="13">
        <v>1177000000</v>
      </c>
      <c r="U95" s="13">
        <v>-2037000000</v>
      </c>
      <c r="V95" s="13">
        <v>-1135000000</v>
      </c>
      <c r="W95" s="13">
        <v>-1153000000</v>
      </c>
      <c r="X95" s="13">
        <v>-4398000000</v>
      </c>
      <c r="Y95" s="13">
        <v>-1839000000</v>
      </c>
      <c r="Z95" s="13">
        <v>0</v>
      </c>
    </row>
    <row r="96" customHeight="1" spans="1:26">
      <c r="A96" s="14" t="s">
        <v>113</v>
      </c>
      <c r="B96" s="15">
        <v>-583000000</v>
      </c>
      <c r="C96" s="16">
        <v>-450000000</v>
      </c>
      <c r="D96" s="16">
        <v>-715000000</v>
      </c>
      <c r="E96" s="16">
        <v>-441000000</v>
      </c>
      <c r="F96" s="16">
        <v>-393000000</v>
      </c>
      <c r="G96" s="16">
        <v>-339000000</v>
      </c>
      <c r="H96" s="16">
        <v>-551000000</v>
      </c>
      <c r="I96" s="16">
        <v>-409000000</v>
      </c>
      <c r="J96" s="16">
        <v>-375000000</v>
      </c>
      <c r="K96" s="16">
        <v>-279000000</v>
      </c>
      <c r="L96" s="16">
        <v>-493000000</v>
      </c>
      <c r="M96" s="16">
        <v>-316000000</v>
      </c>
      <c r="N96" s="16">
        <v>-271000000</v>
      </c>
      <c r="O96" s="16">
        <v>-203000000</v>
      </c>
      <c r="P96" s="16">
        <v>-1490000000</v>
      </c>
      <c r="Q96" s="16">
        <v>-320000000</v>
      </c>
      <c r="R96" s="16">
        <v>-302000000</v>
      </c>
      <c r="S96" s="16">
        <v>-205000000</v>
      </c>
      <c r="T96" s="16">
        <v>-429000000</v>
      </c>
      <c r="U96" s="16">
        <v>-355000000</v>
      </c>
      <c r="V96" s="16">
        <v>-413000000</v>
      </c>
      <c r="W96" s="16">
        <v>-351000000</v>
      </c>
      <c r="X96" s="16">
        <v>-778000000</v>
      </c>
      <c r="Y96" s="16">
        <v>0</v>
      </c>
      <c r="Z96" s="16">
        <v>0</v>
      </c>
    </row>
    <row r="97" customHeight="1" spans="1:26">
      <c r="A97" s="14" t="s">
        <v>114</v>
      </c>
      <c r="B97" s="15">
        <v>-372000000</v>
      </c>
      <c r="C97" s="16">
        <v>0</v>
      </c>
      <c r="D97" s="16">
        <v>-49000000</v>
      </c>
      <c r="E97" s="16">
        <v>0</v>
      </c>
      <c r="F97" s="16">
        <v>-41000000</v>
      </c>
      <c r="G97" s="16">
        <v>-306000000</v>
      </c>
      <c r="H97" s="16">
        <v>-2000000</v>
      </c>
      <c r="I97" s="16">
        <v>-621000000</v>
      </c>
      <c r="J97" s="16">
        <v>-10000000</v>
      </c>
      <c r="K97" s="16">
        <v>-147000000</v>
      </c>
      <c r="L97" s="16">
        <v>129000000</v>
      </c>
      <c r="M97" s="16">
        <v>16000000</v>
      </c>
      <c r="N97" s="16">
        <v>25000000</v>
      </c>
      <c r="O97" s="16">
        <v>-7598000000</v>
      </c>
      <c r="P97" s="16">
        <v>13891000000</v>
      </c>
      <c r="Q97" s="16">
        <v>-3629000000</v>
      </c>
      <c r="R97" s="16">
        <v>444000000</v>
      </c>
      <c r="S97" s="16">
        <v>533000000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</row>
    <row r="98" customHeight="1" spans="1:26">
      <c r="A98" s="14" t="s">
        <v>115</v>
      </c>
      <c r="B98" s="15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</row>
    <row r="99" customHeight="1" spans="1:26">
      <c r="A99" s="14" t="s">
        <v>116</v>
      </c>
      <c r="B99" s="15">
        <v>0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</row>
    <row r="100" customHeight="1" spans="1:26">
      <c r="A100" s="14" t="s">
        <v>117</v>
      </c>
      <c r="B100" s="15">
        <v>-3922000000</v>
      </c>
      <c r="C100" s="16">
        <v>-1326000000</v>
      </c>
      <c r="D100" s="16">
        <v>-2342000000</v>
      </c>
      <c r="E100" s="16">
        <v>-2117000000</v>
      </c>
      <c r="F100" s="16">
        <v>-3351000000</v>
      </c>
      <c r="G100" s="16">
        <v>-2929000000</v>
      </c>
      <c r="H100" s="16">
        <v>-5567000000</v>
      </c>
      <c r="I100" s="16">
        <v>-3729000000</v>
      </c>
      <c r="J100" s="16">
        <v>-3988000000</v>
      </c>
      <c r="K100" s="16">
        <v>-2367000000</v>
      </c>
      <c r="L100" s="16">
        <v>-4256000000</v>
      </c>
      <c r="M100" s="16">
        <v>-3804000000</v>
      </c>
      <c r="N100" s="16">
        <v>-3582000000</v>
      </c>
      <c r="O100" s="16">
        <v>-5039000000</v>
      </c>
      <c r="P100" s="16">
        <v>-8713000000</v>
      </c>
      <c r="Q100" s="16">
        <v>-3851000000</v>
      </c>
      <c r="R100" s="16">
        <v>-5555000000</v>
      </c>
      <c r="S100" s="16">
        <v>-6825000000</v>
      </c>
      <c r="T100" s="16">
        <v>-4914000000</v>
      </c>
      <c r="U100" s="16">
        <v>-4259000000</v>
      </c>
      <c r="V100" s="16">
        <v>-4808000000</v>
      </c>
      <c r="W100" s="16">
        <v>-4010000000</v>
      </c>
      <c r="X100" s="16">
        <v>-5950000000</v>
      </c>
      <c r="Y100" s="16">
        <v>-2890000000</v>
      </c>
      <c r="Z100" s="16">
        <v>0</v>
      </c>
    </row>
    <row r="101" customHeight="1" spans="1:26">
      <c r="A101" s="14" t="s">
        <v>118</v>
      </c>
      <c r="B101" s="15">
        <v>5555000000</v>
      </c>
      <c r="C101" s="16">
        <v>1848000000</v>
      </c>
      <c r="D101" s="16">
        <v>3131000000</v>
      </c>
      <c r="E101" s="16">
        <v>3170000000</v>
      </c>
      <c r="F101" s="16">
        <v>2544000000</v>
      </c>
      <c r="G101" s="16">
        <v>6819000000</v>
      </c>
      <c r="H101" s="16">
        <v>3053000000</v>
      </c>
      <c r="I101" s="16">
        <v>3912000000</v>
      </c>
      <c r="J101" s="16">
        <v>2768000000</v>
      </c>
      <c r="K101" s="16">
        <v>4620000000</v>
      </c>
      <c r="L101" s="16">
        <v>3882000000</v>
      </c>
      <c r="M101" s="16">
        <v>3903000000</v>
      </c>
      <c r="N101" s="16">
        <v>6341000000</v>
      </c>
      <c r="O101" s="16">
        <v>6287000000</v>
      </c>
      <c r="P101" s="16">
        <v>3307000000</v>
      </c>
      <c r="Q101" s="16">
        <v>3705000000</v>
      </c>
      <c r="R101" s="16">
        <v>5470000000</v>
      </c>
      <c r="S101" s="16">
        <v>2632000000</v>
      </c>
      <c r="T101" s="16">
        <v>6475000000</v>
      </c>
      <c r="U101" s="16">
        <v>2628000000</v>
      </c>
      <c r="V101" s="16">
        <v>4034000000</v>
      </c>
      <c r="W101" s="16">
        <v>3161000000</v>
      </c>
      <c r="X101" s="16">
        <v>2176000000</v>
      </c>
      <c r="Y101" s="16">
        <v>1433000000</v>
      </c>
      <c r="Z101" s="16">
        <v>0</v>
      </c>
    </row>
    <row r="102" customHeight="1" spans="1:26">
      <c r="A102" s="14" t="s">
        <v>119</v>
      </c>
      <c r="B102" s="15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</row>
    <row r="103" customHeight="1" spans="1:26">
      <c r="A103" s="14" t="s">
        <v>120</v>
      </c>
      <c r="B103" s="15">
        <v>-5000000</v>
      </c>
      <c r="C103" s="16">
        <v>-269000000</v>
      </c>
      <c r="D103" s="16">
        <v>-83000000</v>
      </c>
      <c r="E103" s="16">
        <v>59000000</v>
      </c>
      <c r="F103" s="16">
        <v>114000000</v>
      </c>
      <c r="G103" s="16">
        <v>-52000000</v>
      </c>
      <c r="H103" s="16">
        <v>504000000</v>
      </c>
      <c r="I103" s="16">
        <v>-43000000</v>
      </c>
      <c r="J103" s="16">
        <v>107000000</v>
      </c>
      <c r="K103" s="16">
        <v>-86000000</v>
      </c>
      <c r="L103" s="16">
        <v>121000000</v>
      </c>
      <c r="M103" s="16">
        <v>140000000</v>
      </c>
      <c r="N103" s="16">
        <v>12000000</v>
      </c>
      <c r="O103" s="16">
        <v>-52000000</v>
      </c>
      <c r="P103" s="16">
        <v>209000000</v>
      </c>
      <c r="Q103" s="16">
        <v>373000000</v>
      </c>
      <c r="R103" s="16">
        <v>-106000000</v>
      </c>
      <c r="S103" s="16">
        <v>58000000</v>
      </c>
      <c r="T103" s="16">
        <v>45000000</v>
      </c>
      <c r="U103" s="16">
        <v>-51000000</v>
      </c>
      <c r="V103" s="16">
        <v>52000000</v>
      </c>
      <c r="W103" s="16">
        <v>47000000</v>
      </c>
      <c r="X103" s="16">
        <v>154000000</v>
      </c>
      <c r="Y103" s="16">
        <v>32000000</v>
      </c>
      <c r="Z103" s="16">
        <v>0</v>
      </c>
    </row>
    <row r="104" s="3" customFormat="1" customHeight="1" spans="1:256">
      <c r="A104" s="17" t="s">
        <v>121</v>
      </c>
      <c r="B104" s="13">
        <f t="shared" ref="B104:Y104" si="3">C104+B95</f>
        <v>-14572000000</v>
      </c>
      <c r="C104" s="13">
        <f t="shared" si="3"/>
        <v>-15245000000</v>
      </c>
      <c r="D104" s="13">
        <f t="shared" si="3"/>
        <v>-15048000000</v>
      </c>
      <c r="E104" s="13">
        <f t="shared" si="3"/>
        <v>-14990000000</v>
      </c>
      <c r="F104" s="13">
        <f t="shared" si="3"/>
        <v>-15661000000</v>
      </c>
      <c r="G104" s="13">
        <f t="shared" si="3"/>
        <v>-14534000000</v>
      </c>
      <c r="H104" s="13">
        <f t="shared" si="3"/>
        <v>-17727000000</v>
      </c>
      <c r="I104" s="13">
        <f t="shared" si="3"/>
        <v>-15164000000</v>
      </c>
      <c r="J104" s="13">
        <f t="shared" si="3"/>
        <v>-14274000000</v>
      </c>
      <c r="K104" s="13">
        <f t="shared" si="3"/>
        <v>-12776000000</v>
      </c>
      <c r="L104" s="13">
        <f t="shared" si="3"/>
        <v>-14517000000</v>
      </c>
      <c r="M104" s="13">
        <f t="shared" si="3"/>
        <v>-13900000000</v>
      </c>
      <c r="N104" s="13">
        <f t="shared" si="3"/>
        <v>-13839000000</v>
      </c>
      <c r="O104" s="13">
        <f t="shared" si="3"/>
        <v>-16364000000</v>
      </c>
      <c r="P104" s="13">
        <f t="shared" si="3"/>
        <v>-9759000000</v>
      </c>
      <c r="Q104" s="13">
        <f t="shared" si="3"/>
        <v>-16963000000</v>
      </c>
      <c r="R104" s="13">
        <f t="shared" si="3"/>
        <v>-13241000000</v>
      </c>
      <c r="S104" s="13">
        <f t="shared" si="3"/>
        <v>-13192000000</v>
      </c>
      <c r="T104" s="13">
        <f t="shared" si="3"/>
        <v>-9385000000</v>
      </c>
      <c r="U104" s="13">
        <f t="shared" si="3"/>
        <v>-10562000000</v>
      </c>
      <c r="V104" s="13">
        <f t="shared" si="3"/>
        <v>-8525000000</v>
      </c>
      <c r="W104" s="13">
        <f t="shared" si="3"/>
        <v>-7390000000</v>
      </c>
      <c r="X104" s="13">
        <f t="shared" si="3"/>
        <v>-6237000000</v>
      </c>
      <c r="Y104" s="13">
        <f t="shared" si="3"/>
        <v>-1839000000</v>
      </c>
      <c r="Z104" s="13">
        <f>Z95</f>
        <v>0</v>
      </c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/>
      <c r="FM104" s="19"/>
      <c r="FN104" s="19"/>
      <c r="FO104" s="19"/>
      <c r="FP104" s="19"/>
      <c r="FQ104" s="19"/>
      <c r="FR104" s="19"/>
      <c r="FS104" s="19"/>
      <c r="FT104" s="19"/>
      <c r="FU104" s="19"/>
      <c r="FV104" s="19"/>
      <c r="FW104" s="19"/>
      <c r="FX104" s="19"/>
      <c r="FY104" s="19"/>
      <c r="FZ104" s="19"/>
      <c r="GA104" s="19"/>
      <c r="GB104" s="19"/>
      <c r="GC104" s="19"/>
      <c r="GD104" s="19"/>
      <c r="GE104" s="19"/>
      <c r="GF104" s="19"/>
      <c r="GG104" s="19"/>
      <c r="GH104" s="19"/>
      <c r="GI104" s="19"/>
      <c r="GJ104" s="19"/>
      <c r="GK104" s="19"/>
      <c r="GL104" s="19"/>
      <c r="GM104" s="19"/>
      <c r="GN104" s="19"/>
      <c r="GO104" s="19"/>
      <c r="GP104" s="19"/>
      <c r="GQ104" s="19"/>
      <c r="GR104" s="19"/>
      <c r="GS104" s="19"/>
      <c r="GT104" s="19"/>
      <c r="GU104" s="19"/>
      <c r="GV104" s="19"/>
      <c r="GW104" s="19"/>
      <c r="GX104" s="19"/>
      <c r="GY104" s="19"/>
      <c r="GZ104" s="19"/>
      <c r="HA104" s="19"/>
      <c r="HB104" s="19"/>
      <c r="HC104" s="19"/>
      <c r="HD104" s="19"/>
      <c r="HE104" s="19"/>
      <c r="HF104" s="19"/>
      <c r="HG104" s="19"/>
      <c r="HH104" s="19"/>
      <c r="HI104" s="19"/>
      <c r="HJ104" s="19"/>
      <c r="HK104" s="19"/>
      <c r="HL104" s="19"/>
      <c r="HM104" s="19"/>
      <c r="HN104" s="19"/>
      <c r="HO104" s="19"/>
      <c r="HP104" s="19"/>
      <c r="HQ104" s="19"/>
      <c r="HR104" s="19"/>
      <c r="HS104" s="19"/>
      <c r="HT104" s="19"/>
      <c r="HU104" s="19"/>
      <c r="HV104" s="19"/>
      <c r="HW104" s="19"/>
      <c r="HX104" s="19"/>
      <c r="HY104" s="19"/>
      <c r="HZ104" s="19"/>
      <c r="IA104" s="19"/>
      <c r="IB104" s="19"/>
      <c r="IC104" s="19"/>
      <c r="ID104" s="19"/>
      <c r="IE104" s="19"/>
      <c r="IF104" s="19"/>
      <c r="IG104" s="19"/>
      <c r="IH104" s="19"/>
      <c r="II104" s="19"/>
      <c r="IJ104" s="19"/>
      <c r="IK104" s="19"/>
      <c r="IL104" s="19"/>
      <c r="IM104" s="19"/>
      <c r="IN104" s="19"/>
      <c r="IO104" s="19"/>
      <c r="IP104" s="19"/>
      <c r="IQ104" s="19"/>
      <c r="IR104" s="19"/>
      <c r="IS104" s="19"/>
      <c r="IT104" s="19"/>
      <c r="IU104" s="19"/>
      <c r="IV104" s="19"/>
    </row>
    <row r="105" s="3" customFormat="1" customHeight="1" spans="1:256">
      <c r="A105" s="17" t="s">
        <v>122</v>
      </c>
      <c r="B105" s="22">
        <f>B104+B26</f>
        <v>46404000000</v>
      </c>
      <c r="C105" s="22">
        <f t="shared" ref="C105:Z105" si="4">C104+C26</f>
        <v>46711000000</v>
      </c>
      <c r="D105" s="22">
        <f t="shared" si="4"/>
        <v>48058000000</v>
      </c>
      <c r="E105" s="22">
        <f t="shared" si="4"/>
        <v>48767000000</v>
      </c>
      <c r="F105" s="22">
        <f t="shared" si="4"/>
        <v>48976000000</v>
      </c>
      <c r="G105" s="22">
        <f t="shared" si="4"/>
        <v>50497000000</v>
      </c>
      <c r="H105" s="22">
        <f t="shared" si="4"/>
        <v>47036000000</v>
      </c>
      <c r="I105" s="22">
        <f t="shared" si="4"/>
        <v>53731000000</v>
      </c>
      <c r="J105" s="22">
        <f t="shared" si="4"/>
        <v>54275000000</v>
      </c>
      <c r="K105" s="22">
        <f t="shared" si="4"/>
        <v>57207000000</v>
      </c>
      <c r="L105" s="22">
        <f t="shared" si="4"/>
        <v>57498000000</v>
      </c>
      <c r="M105" s="22">
        <f t="shared" si="4"/>
        <v>58765000000</v>
      </c>
      <c r="N105" s="22">
        <f t="shared" si="4"/>
        <v>60424000000</v>
      </c>
      <c r="O105" s="22">
        <f t="shared" si="4"/>
        <v>59054000000</v>
      </c>
      <c r="P105" s="22">
        <f t="shared" si="4"/>
        <v>55403000000</v>
      </c>
      <c r="Q105" s="22">
        <f t="shared" si="4"/>
        <v>50122000000</v>
      </c>
      <c r="R105" s="22">
        <f t="shared" si="4"/>
        <v>51032000000</v>
      </c>
      <c r="S105" s="22">
        <f t="shared" si="4"/>
        <v>54028000000</v>
      </c>
      <c r="T105" s="22">
        <f t="shared" si="4"/>
        <v>60575000000</v>
      </c>
      <c r="U105" s="22">
        <f t="shared" si="4"/>
        <v>58092000000</v>
      </c>
      <c r="V105" s="22">
        <f t="shared" si="4"/>
        <v>61356000000</v>
      </c>
      <c r="W105" s="22">
        <f t="shared" si="4"/>
        <v>63566000000</v>
      </c>
      <c r="X105" s="22">
        <f t="shared" si="4"/>
        <v>65038000000</v>
      </c>
      <c r="Y105" s="22">
        <f t="shared" si="4"/>
        <v>68233000000</v>
      </c>
      <c r="Z105" s="22">
        <f t="shared" si="4"/>
        <v>0</v>
      </c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9"/>
      <c r="EY105" s="19"/>
      <c r="EZ105" s="19"/>
      <c r="FA105" s="19"/>
      <c r="FB105" s="19"/>
      <c r="FC105" s="19"/>
      <c r="FD105" s="19"/>
      <c r="FE105" s="19"/>
      <c r="FF105" s="19"/>
      <c r="FG105" s="19"/>
      <c r="FH105" s="19"/>
      <c r="FI105" s="19"/>
      <c r="FJ105" s="19"/>
      <c r="FK105" s="19"/>
      <c r="FL105" s="19"/>
      <c r="FM105" s="19"/>
      <c r="FN105" s="19"/>
      <c r="FO105" s="19"/>
      <c r="FP105" s="19"/>
      <c r="FQ105" s="19"/>
      <c r="FR105" s="19"/>
      <c r="FS105" s="19"/>
      <c r="FT105" s="19"/>
      <c r="FU105" s="19"/>
      <c r="FV105" s="19"/>
      <c r="FW105" s="19"/>
      <c r="FX105" s="19"/>
      <c r="FY105" s="19"/>
      <c r="FZ105" s="19"/>
      <c r="GA105" s="19"/>
      <c r="GB105" s="19"/>
      <c r="GC105" s="19"/>
      <c r="GD105" s="19"/>
      <c r="GE105" s="19"/>
      <c r="GF105" s="19"/>
      <c r="GG105" s="19"/>
      <c r="GH105" s="19"/>
      <c r="GI105" s="19"/>
      <c r="GJ105" s="19"/>
      <c r="GK105" s="19"/>
      <c r="GL105" s="19"/>
      <c r="GM105" s="19"/>
      <c r="GN105" s="19"/>
      <c r="GO105" s="19"/>
      <c r="GP105" s="19"/>
      <c r="GQ105" s="19"/>
      <c r="GR105" s="19"/>
      <c r="GS105" s="19"/>
      <c r="GT105" s="19"/>
      <c r="GU105" s="19"/>
      <c r="GV105" s="19"/>
      <c r="GW105" s="19"/>
      <c r="GX105" s="19"/>
      <c r="GY105" s="19"/>
      <c r="GZ105" s="19"/>
      <c r="HA105" s="19"/>
      <c r="HB105" s="19"/>
      <c r="HC105" s="19"/>
      <c r="HD105" s="19"/>
      <c r="HE105" s="19"/>
      <c r="HF105" s="19"/>
      <c r="HG105" s="19"/>
      <c r="HH105" s="19"/>
      <c r="HI105" s="19"/>
      <c r="HJ105" s="19"/>
      <c r="HK105" s="19"/>
      <c r="HL105" s="19"/>
      <c r="HM105" s="19"/>
      <c r="HN105" s="19"/>
      <c r="HO105" s="19"/>
      <c r="HP105" s="19"/>
      <c r="HQ105" s="19"/>
      <c r="HR105" s="19"/>
      <c r="HS105" s="19"/>
      <c r="HT105" s="19"/>
      <c r="HU105" s="19"/>
      <c r="HV105" s="19"/>
      <c r="HW105" s="19"/>
      <c r="HX105" s="19"/>
      <c r="HY105" s="19"/>
      <c r="HZ105" s="19"/>
      <c r="IA105" s="19"/>
      <c r="IB105" s="19"/>
      <c r="IC105" s="19"/>
      <c r="ID105" s="19"/>
      <c r="IE105" s="19"/>
      <c r="IF105" s="19"/>
      <c r="IG105" s="19"/>
      <c r="IH105" s="19"/>
      <c r="II105" s="19"/>
      <c r="IJ105" s="19"/>
      <c r="IK105" s="19"/>
      <c r="IL105" s="19"/>
      <c r="IM105" s="19"/>
      <c r="IN105" s="19"/>
      <c r="IO105" s="19"/>
      <c r="IP105" s="19"/>
      <c r="IQ105" s="19"/>
      <c r="IR105" s="19"/>
      <c r="IS105" s="19"/>
      <c r="IT105" s="19"/>
      <c r="IU105" s="19"/>
      <c r="IV105" s="19"/>
    </row>
    <row r="106" customHeight="1" spans="1:26">
      <c r="A106" s="11" t="s">
        <v>123</v>
      </c>
      <c r="B106" s="12">
        <v>-2967000000</v>
      </c>
      <c r="C106" s="13">
        <v>-2722000000</v>
      </c>
      <c r="D106" s="13">
        <v>-5785000000</v>
      </c>
      <c r="E106" s="13">
        <v>536000000</v>
      </c>
      <c r="F106" s="13">
        <v>-6218000000</v>
      </c>
      <c r="G106" s="13">
        <v>1461000000</v>
      </c>
      <c r="H106" s="13">
        <v>-1977000000</v>
      </c>
      <c r="I106" s="13">
        <v>-835000000</v>
      </c>
      <c r="J106" s="13">
        <v>-3381000000</v>
      </c>
      <c r="K106" s="13">
        <v>-2851000000</v>
      </c>
      <c r="L106" s="13">
        <v>-2407000000</v>
      </c>
      <c r="M106" s="13">
        <v>-2533000000</v>
      </c>
      <c r="N106" s="13">
        <v>-5485000000</v>
      </c>
      <c r="O106" s="13">
        <v>5155000000</v>
      </c>
      <c r="P106" s="13">
        <v>-9643000000</v>
      </c>
      <c r="Q106" s="13">
        <v>1279000000</v>
      </c>
      <c r="R106" s="13">
        <v>-8369000000</v>
      </c>
      <c r="S106" s="13">
        <v>1620000000</v>
      </c>
      <c r="T106" s="13">
        <v>-2624000000</v>
      </c>
      <c r="U106" s="13">
        <v>-2915000000</v>
      </c>
      <c r="V106" s="13">
        <v>970000000</v>
      </c>
      <c r="W106" s="13">
        <v>-1421000000</v>
      </c>
      <c r="X106" s="13">
        <v>-1218000000</v>
      </c>
      <c r="Y106" s="13">
        <v>0</v>
      </c>
      <c r="Z106" s="13">
        <v>0</v>
      </c>
    </row>
    <row r="107" customHeight="1" spans="1:26">
      <c r="A107" s="14" t="s">
        <v>124</v>
      </c>
      <c r="B107" s="15">
        <v>0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</row>
    <row r="108" customHeight="1" spans="1:26">
      <c r="A108" s="14" t="s">
        <v>125</v>
      </c>
      <c r="B108" s="15">
        <v>0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</row>
    <row r="109" customHeight="1" spans="1:26">
      <c r="A109" s="14" t="s">
        <v>126</v>
      </c>
      <c r="B109" s="15">
        <v>0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</row>
    <row r="110" customHeight="1" spans="1:26">
      <c r="A110" s="14" t="s">
        <v>127</v>
      </c>
      <c r="B110" s="15">
        <v>0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1071000000</v>
      </c>
      <c r="I110" s="16">
        <v>0</v>
      </c>
      <c r="J110" s="16">
        <v>8000000</v>
      </c>
      <c r="K110" s="16">
        <v>0</v>
      </c>
      <c r="L110" s="16">
        <v>0</v>
      </c>
      <c r="M110" s="16">
        <v>-2000000</v>
      </c>
      <c r="N110" s="16">
        <v>-1000000</v>
      </c>
      <c r="O110" s="16">
        <v>7941000000</v>
      </c>
      <c r="P110" s="16">
        <v>3145000000</v>
      </c>
      <c r="Q110" s="16">
        <v>0</v>
      </c>
      <c r="R110" s="16">
        <v>0</v>
      </c>
      <c r="S110" s="16">
        <v>0</v>
      </c>
      <c r="T110" s="16">
        <v>0</v>
      </c>
      <c r="U110" s="16">
        <v>-1702000000</v>
      </c>
      <c r="V110" s="16">
        <v>0</v>
      </c>
      <c r="W110" s="16">
        <v>0</v>
      </c>
      <c r="X110" s="16">
        <v>338000000</v>
      </c>
      <c r="Y110" s="16">
        <v>587000000</v>
      </c>
      <c r="Z110" s="16">
        <v>0</v>
      </c>
    </row>
    <row r="111" customHeight="1" spans="1:26">
      <c r="A111" s="14" t="s">
        <v>128</v>
      </c>
      <c r="B111" s="15">
        <v>-2005000000</v>
      </c>
      <c r="C111" s="16">
        <v>-1003000000</v>
      </c>
      <c r="D111" s="16">
        <v>-802000000</v>
      </c>
      <c r="E111" s="16">
        <v>0</v>
      </c>
      <c r="F111" s="16">
        <v>-1000000</v>
      </c>
      <c r="G111" s="16">
        <v>-300000000</v>
      </c>
      <c r="H111" s="16">
        <v>0</v>
      </c>
      <c r="I111" s="16">
        <v>-35000000</v>
      </c>
      <c r="J111" s="16">
        <v>-1500000000</v>
      </c>
      <c r="K111" s="16">
        <v>-851000000</v>
      </c>
      <c r="L111" s="16">
        <v>-1000000</v>
      </c>
      <c r="M111" s="16">
        <v>0</v>
      </c>
      <c r="N111" s="16">
        <v>-3000000</v>
      </c>
      <c r="O111" s="16">
        <v>-2902000000</v>
      </c>
      <c r="P111" s="16">
        <v>-6610000000</v>
      </c>
      <c r="Q111" s="16">
        <v>-2000000</v>
      </c>
      <c r="R111" s="16">
        <v>-2000000</v>
      </c>
      <c r="S111" s="16">
        <v>-3000000</v>
      </c>
      <c r="T111" s="16">
        <v>-1260000000</v>
      </c>
      <c r="U111" s="16">
        <v>0</v>
      </c>
      <c r="V111" s="16">
        <v>-9000000</v>
      </c>
      <c r="W111" s="16">
        <v>-506000000</v>
      </c>
      <c r="X111" s="16">
        <v>-18000000</v>
      </c>
      <c r="Y111" s="16">
        <v>-2000000</v>
      </c>
      <c r="Z111" s="16">
        <v>0</v>
      </c>
    </row>
    <row r="112" customHeight="1" spans="1:26">
      <c r="A112" s="14" t="s">
        <v>129</v>
      </c>
      <c r="B112" s="15">
        <v>0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</row>
    <row r="113" customHeight="1" spans="1:26">
      <c r="A113" s="14" t="s">
        <v>130</v>
      </c>
      <c r="B113" s="15">
        <v>-1596000000</v>
      </c>
      <c r="C113" s="16">
        <v>-566000000</v>
      </c>
      <c r="D113" s="16">
        <v>-1702000000</v>
      </c>
      <c r="E113" s="16">
        <v>-159000000</v>
      </c>
      <c r="F113" s="16">
        <v>-1134000000</v>
      </c>
      <c r="G113" s="16">
        <v>-1019000000</v>
      </c>
      <c r="H113" s="16">
        <v>-1016000000</v>
      </c>
      <c r="I113" s="16">
        <v>-845000000</v>
      </c>
      <c r="J113" s="16">
        <v>-660000000</v>
      </c>
      <c r="K113" s="16">
        <v>-913000000</v>
      </c>
      <c r="L113" s="16">
        <v>-1181000000</v>
      </c>
      <c r="M113" s="16">
        <v>-1281000000</v>
      </c>
      <c r="N113" s="16">
        <v>-709000000</v>
      </c>
      <c r="O113" s="16">
        <v>-1015000000</v>
      </c>
      <c r="P113" s="16">
        <v>-1620000000</v>
      </c>
      <c r="Q113" s="16">
        <v>-2670000000</v>
      </c>
      <c r="R113" s="16">
        <v>-2246000000</v>
      </c>
      <c r="S113" s="16">
        <v>-1167000000</v>
      </c>
      <c r="T113" s="16">
        <v>-196000000</v>
      </c>
      <c r="U113" s="16">
        <v>-215000000</v>
      </c>
      <c r="V113" s="16">
        <v>-5525000000</v>
      </c>
      <c r="W113" s="16">
        <v>-580000000</v>
      </c>
      <c r="X113" s="16">
        <v>-1152000000</v>
      </c>
      <c r="Y113" s="16">
        <v>-454000000</v>
      </c>
      <c r="Z113" s="16">
        <v>0</v>
      </c>
    </row>
    <row r="114" customHeight="1" spans="1:26">
      <c r="A114" s="14" t="s">
        <v>131</v>
      </c>
      <c r="B114" s="15">
        <v>0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</row>
    <row r="115" customHeight="1" spans="1:26">
      <c r="A115" s="14" t="s">
        <v>132</v>
      </c>
      <c r="B115" s="15">
        <v>0</v>
      </c>
      <c r="C115" s="16">
        <v>0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</row>
    <row r="116" customHeight="1" spans="1:26">
      <c r="A116" s="14" t="s">
        <v>133</v>
      </c>
      <c r="B116" s="15">
        <v>-1311000000</v>
      </c>
      <c r="C116" s="16">
        <v>-1299000000</v>
      </c>
      <c r="D116" s="16">
        <v>-1283000000</v>
      </c>
      <c r="E116" s="16">
        <v>-1283000000</v>
      </c>
      <c r="F116" s="16">
        <v>-1307000000</v>
      </c>
      <c r="G116" s="16">
        <v>-1294000000</v>
      </c>
      <c r="H116" s="16">
        <v>-1271000000</v>
      </c>
      <c r="I116" s="16">
        <v>-1274000000</v>
      </c>
      <c r="J116" s="16">
        <v>-1300000000</v>
      </c>
      <c r="K116" s="16">
        <v>-1279000000</v>
      </c>
      <c r="L116" s="16">
        <v>-1263000000</v>
      </c>
      <c r="M116" s="16">
        <v>-1272000000</v>
      </c>
      <c r="N116" s="16">
        <v>-1302000000</v>
      </c>
      <c r="O116" s="16">
        <v>-1280000000</v>
      </c>
      <c r="P116" s="16">
        <v>-1336000000</v>
      </c>
      <c r="Q116" s="16">
        <v>-1282000000</v>
      </c>
      <c r="R116" s="16">
        <v>-1339000000</v>
      </c>
      <c r="S116" s="16">
        <v>-1290000000</v>
      </c>
      <c r="T116" s="16">
        <v>-1380000000</v>
      </c>
      <c r="U116" s="16">
        <v>-1259000000</v>
      </c>
      <c r="V116" s="16">
        <v>-1332000000</v>
      </c>
      <c r="W116" s="16">
        <v>-1306000000</v>
      </c>
      <c r="X116" s="16">
        <v>-1400000000</v>
      </c>
      <c r="Y116" s="16">
        <v>-1277000000</v>
      </c>
      <c r="Z116" s="16">
        <v>0</v>
      </c>
    </row>
    <row r="117" customHeight="1" spans="1:26">
      <c r="A117" s="14" t="s">
        <v>134</v>
      </c>
      <c r="B117" s="15">
        <v>1945000000</v>
      </c>
      <c r="C117" s="16">
        <v>146000000</v>
      </c>
      <c r="D117" s="16">
        <v>-1998000000</v>
      </c>
      <c r="E117" s="16">
        <v>1978000000</v>
      </c>
      <c r="F117" s="16">
        <v>-3776000000</v>
      </c>
      <c r="G117" s="16">
        <v>4074000000</v>
      </c>
      <c r="H117" s="16">
        <v>-761000000</v>
      </c>
      <c r="I117" s="16">
        <v>1319000000</v>
      </c>
      <c r="J117" s="16">
        <v>71000000</v>
      </c>
      <c r="K117" s="16">
        <v>192000000</v>
      </c>
      <c r="L117" s="16">
        <v>38000000</v>
      </c>
      <c r="M117" s="16">
        <v>22000000</v>
      </c>
      <c r="N117" s="16">
        <v>-3470000000</v>
      </c>
      <c r="O117" s="16">
        <v>2411000000</v>
      </c>
      <c r="P117" s="16">
        <v>-3222000000</v>
      </c>
      <c r="Q117" s="16">
        <v>5233000000</v>
      </c>
      <c r="R117" s="16">
        <v>-4782000000</v>
      </c>
      <c r="S117" s="16">
        <v>4080000000</v>
      </c>
      <c r="T117" s="16">
        <v>212000000</v>
      </c>
      <c r="U117" s="16">
        <v>261000000</v>
      </c>
      <c r="V117" s="16">
        <v>7836000000</v>
      </c>
      <c r="W117" s="16">
        <v>971000000</v>
      </c>
      <c r="X117" s="16">
        <v>1014000000</v>
      </c>
      <c r="Y117" s="16">
        <v>408000000</v>
      </c>
      <c r="Z117" s="16">
        <v>0</v>
      </c>
    </row>
    <row r="118" s="3" customFormat="1" customHeight="1" spans="1:256">
      <c r="A118" s="17" t="s">
        <v>135</v>
      </c>
      <c r="B118" s="22">
        <f t="shared" ref="B118:Y118" si="5">C118+B113</f>
        <v>-29621000000</v>
      </c>
      <c r="C118" s="22">
        <f t="shared" si="5"/>
        <v>-28025000000</v>
      </c>
      <c r="D118" s="22">
        <f t="shared" si="5"/>
        <v>-27459000000</v>
      </c>
      <c r="E118" s="22">
        <f t="shared" si="5"/>
        <v>-25757000000</v>
      </c>
      <c r="F118" s="22">
        <f t="shared" si="5"/>
        <v>-25598000000</v>
      </c>
      <c r="G118" s="22">
        <f t="shared" si="5"/>
        <v>-24464000000</v>
      </c>
      <c r="H118" s="22">
        <f t="shared" si="5"/>
        <v>-23445000000</v>
      </c>
      <c r="I118" s="22">
        <f t="shared" si="5"/>
        <v>-22429000000</v>
      </c>
      <c r="J118" s="22">
        <f t="shared" si="5"/>
        <v>-21584000000</v>
      </c>
      <c r="K118" s="22">
        <f t="shared" si="5"/>
        <v>-20924000000</v>
      </c>
      <c r="L118" s="22">
        <f t="shared" si="5"/>
        <v>-20011000000</v>
      </c>
      <c r="M118" s="22">
        <f t="shared" si="5"/>
        <v>-18830000000</v>
      </c>
      <c r="N118" s="22">
        <f t="shared" si="5"/>
        <v>-17549000000</v>
      </c>
      <c r="O118" s="22">
        <f t="shared" si="5"/>
        <v>-16840000000</v>
      </c>
      <c r="P118" s="22">
        <f t="shared" si="5"/>
        <v>-15825000000</v>
      </c>
      <c r="Q118" s="22">
        <f t="shared" si="5"/>
        <v>-14205000000</v>
      </c>
      <c r="R118" s="22">
        <f t="shared" si="5"/>
        <v>-11535000000</v>
      </c>
      <c r="S118" s="22">
        <f t="shared" si="5"/>
        <v>-9289000000</v>
      </c>
      <c r="T118" s="22">
        <f t="shared" si="5"/>
        <v>-8122000000</v>
      </c>
      <c r="U118" s="22">
        <f t="shared" si="5"/>
        <v>-7926000000</v>
      </c>
      <c r="V118" s="22">
        <f t="shared" si="5"/>
        <v>-7711000000</v>
      </c>
      <c r="W118" s="22">
        <f t="shared" si="5"/>
        <v>-2186000000</v>
      </c>
      <c r="X118" s="22">
        <f t="shared" si="5"/>
        <v>-1606000000</v>
      </c>
      <c r="Y118" s="22">
        <f t="shared" si="5"/>
        <v>-454000000</v>
      </c>
      <c r="Z118" s="22">
        <f>Z113</f>
        <v>0</v>
      </c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/>
      <c r="EQ118" s="19"/>
      <c r="ER118" s="19"/>
      <c r="ES118" s="19"/>
      <c r="ET118" s="19"/>
      <c r="EU118" s="19"/>
      <c r="EV118" s="19"/>
      <c r="EW118" s="19"/>
      <c r="EX118" s="19"/>
      <c r="EY118" s="19"/>
      <c r="EZ118" s="19"/>
      <c r="FA118" s="19"/>
      <c r="FB118" s="19"/>
      <c r="FC118" s="19"/>
      <c r="FD118" s="19"/>
      <c r="FE118" s="19"/>
      <c r="FF118" s="19"/>
      <c r="FG118" s="19"/>
      <c r="FH118" s="19"/>
      <c r="FI118" s="19"/>
      <c r="FJ118" s="19"/>
      <c r="FK118" s="19"/>
      <c r="FL118" s="19"/>
      <c r="FM118" s="19"/>
      <c r="FN118" s="19"/>
      <c r="FO118" s="19"/>
      <c r="FP118" s="19"/>
      <c r="FQ118" s="19"/>
      <c r="FR118" s="19"/>
      <c r="FS118" s="19"/>
      <c r="FT118" s="19"/>
      <c r="FU118" s="19"/>
      <c r="FV118" s="19"/>
      <c r="FW118" s="19"/>
      <c r="FX118" s="19"/>
      <c r="FY118" s="19"/>
      <c r="FZ118" s="19"/>
      <c r="GA118" s="19"/>
      <c r="GB118" s="19"/>
      <c r="GC118" s="19"/>
      <c r="GD118" s="19"/>
      <c r="GE118" s="19"/>
      <c r="GF118" s="19"/>
      <c r="GG118" s="19"/>
      <c r="GH118" s="19"/>
      <c r="GI118" s="19"/>
      <c r="GJ118" s="19"/>
      <c r="GK118" s="19"/>
      <c r="GL118" s="19"/>
      <c r="GM118" s="19"/>
      <c r="GN118" s="19"/>
      <c r="GO118" s="19"/>
      <c r="GP118" s="19"/>
      <c r="GQ118" s="19"/>
      <c r="GR118" s="19"/>
      <c r="GS118" s="19"/>
      <c r="GT118" s="19"/>
      <c r="GU118" s="19"/>
      <c r="GV118" s="19"/>
      <c r="GW118" s="19"/>
      <c r="GX118" s="19"/>
      <c r="GY118" s="19"/>
      <c r="GZ118" s="19"/>
      <c r="HA118" s="19"/>
      <c r="HB118" s="19"/>
      <c r="HC118" s="19"/>
      <c r="HD118" s="19"/>
      <c r="HE118" s="19"/>
      <c r="HF118" s="19"/>
      <c r="HG118" s="19"/>
      <c r="HH118" s="19"/>
      <c r="HI118" s="19"/>
      <c r="HJ118" s="19"/>
      <c r="HK118" s="19"/>
      <c r="HL118" s="19"/>
      <c r="HM118" s="19"/>
      <c r="HN118" s="19"/>
      <c r="HO118" s="19"/>
      <c r="HP118" s="19"/>
      <c r="HQ118" s="19"/>
      <c r="HR118" s="19"/>
      <c r="HS118" s="19"/>
      <c r="HT118" s="19"/>
      <c r="HU118" s="19"/>
      <c r="HV118" s="19"/>
      <c r="HW118" s="19"/>
      <c r="HX118" s="19"/>
      <c r="HY118" s="19"/>
      <c r="HZ118" s="19"/>
      <c r="IA118" s="19"/>
      <c r="IB118" s="19"/>
      <c r="IC118" s="19"/>
      <c r="ID118" s="19"/>
      <c r="IE118" s="19"/>
      <c r="IF118" s="19"/>
      <c r="IG118" s="19"/>
      <c r="IH118" s="19"/>
      <c r="II118" s="19"/>
      <c r="IJ118" s="19"/>
      <c r="IK118" s="19"/>
      <c r="IL118" s="19"/>
      <c r="IM118" s="19"/>
      <c r="IN118" s="19"/>
      <c r="IO118" s="19"/>
      <c r="IP118" s="19"/>
      <c r="IQ118" s="19"/>
      <c r="IR118" s="19"/>
      <c r="IS118" s="19"/>
      <c r="IT118" s="19"/>
      <c r="IU118" s="19"/>
      <c r="IV118" s="19"/>
    </row>
    <row r="119" s="3" customFormat="1" customHeight="1" spans="1:256">
      <c r="A119" s="17" t="s">
        <v>136</v>
      </c>
      <c r="B119" s="22">
        <f t="shared" ref="B119:Y119" si="6">C119+B116</f>
        <v>-31219000000</v>
      </c>
      <c r="C119" s="22">
        <f t="shared" si="6"/>
        <v>-29908000000</v>
      </c>
      <c r="D119" s="22">
        <f t="shared" si="6"/>
        <v>-28609000000</v>
      </c>
      <c r="E119" s="22">
        <f t="shared" si="6"/>
        <v>-27326000000</v>
      </c>
      <c r="F119" s="22">
        <f t="shared" si="6"/>
        <v>-26043000000</v>
      </c>
      <c r="G119" s="22">
        <f t="shared" si="6"/>
        <v>-24736000000</v>
      </c>
      <c r="H119" s="22">
        <f t="shared" si="6"/>
        <v>-23442000000</v>
      </c>
      <c r="I119" s="22">
        <f t="shared" si="6"/>
        <v>-22171000000</v>
      </c>
      <c r="J119" s="22">
        <f t="shared" si="6"/>
        <v>-20897000000</v>
      </c>
      <c r="K119" s="22">
        <f t="shared" si="6"/>
        <v>-19597000000</v>
      </c>
      <c r="L119" s="22">
        <f t="shared" si="6"/>
        <v>-18318000000</v>
      </c>
      <c r="M119" s="22">
        <f t="shared" si="6"/>
        <v>-17055000000</v>
      </c>
      <c r="N119" s="22">
        <f t="shared" si="6"/>
        <v>-15783000000</v>
      </c>
      <c r="O119" s="22">
        <f t="shared" si="6"/>
        <v>-14481000000</v>
      </c>
      <c r="P119" s="22">
        <f t="shared" si="6"/>
        <v>-13201000000</v>
      </c>
      <c r="Q119" s="22">
        <f t="shared" si="6"/>
        <v>-11865000000</v>
      </c>
      <c r="R119" s="22">
        <f t="shared" si="6"/>
        <v>-10583000000</v>
      </c>
      <c r="S119" s="22">
        <f t="shared" si="6"/>
        <v>-9244000000</v>
      </c>
      <c r="T119" s="22">
        <f t="shared" si="6"/>
        <v>-7954000000</v>
      </c>
      <c r="U119" s="22">
        <f t="shared" si="6"/>
        <v>-6574000000</v>
      </c>
      <c r="V119" s="22">
        <f t="shared" si="6"/>
        <v>-5315000000</v>
      </c>
      <c r="W119" s="22">
        <f t="shared" si="6"/>
        <v>-3983000000</v>
      </c>
      <c r="X119" s="22">
        <f t="shared" si="6"/>
        <v>-2677000000</v>
      </c>
      <c r="Y119" s="22">
        <f t="shared" si="6"/>
        <v>-1277000000</v>
      </c>
      <c r="Z119" s="22">
        <f>Z116</f>
        <v>0</v>
      </c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/>
      <c r="EQ119" s="19"/>
      <c r="ER119" s="19"/>
      <c r="ES119" s="19"/>
      <c r="ET119" s="19"/>
      <c r="EU119" s="19"/>
      <c r="EV119" s="19"/>
      <c r="EW119" s="19"/>
      <c r="EX119" s="19"/>
      <c r="EY119" s="19"/>
      <c r="EZ119" s="19"/>
      <c r="FA119" s="19"/>
      <c r="FB119" s="19"/>
      <c r="FC119" s="19"/>
      <c r="FD119" s="19"/>
      <c r="FE119" s="19"/>
      <c r="FF119" s="19"/>
      <c r="FG119" s="19"/>
      <c r="FH119" s="19"/>
      <c r="FI119" s="19"/>
      <c r="FJ119" s="19"/>
      <c r="FK119" s="19"/>
      <c r="FL119" s="19"/>
      <c r="FM119" s="19"/>
      <c r="FN119" s="19"/>
      <c r="FO119" s="19"/>
      <c r="FP119" s="19"/>
      <c r="FQ119" s="19"/>
      <c r="FR119" s="19"/>
      <c r="FS119" s="19"/>
      <c r="FT119" s="19"/>
      <c r="FU119" s="19"/>
      <c r="FV119" s="19"/>
      <c r="FW119" s="19"/>
      <c r="FX119" s="19"/>
      <c r="FY119" s="19"/>
      <c r="FZ119" s="19"/>
      <c r="GA119" s="19"/>
      <c r="GB119" s="19"/>
      <c r="GC119" s="19"/>
      <c r="GD119" s="19"/>
      <c r="GE119" s="19"/>
      <c r="GF119" s="19"/>
      <c r="GG119" s="19"/>
      <c r="GH119" s="19"/>
      <c r="GI119" s="19"/>
      <c r="GJ119" s="19"/>
      <c r="GK119" s="19"/>
      <c r="GL119" s="19"/>
      <c r="GM119" s="19"/>
      <c r="GN119" s="19"/>
      <c r="GO119" s="19"/>
      <c r="GP119" s="19"/>
      <c r="GQ119" s="19"/>
      <c r="GR119" s="19"/>
      <c r="GS119" s="19"/>
      <c r="GT119" s="19"/>
      <c r="GU119" s="19"/>
      <c r="GV119" s="19"/>
      <c r="GW119" s="19"/>
      <c r="GX119" s="19"/>
      <c r="GY119" s="19"/>
      <c r="GZ119" s="19"/>
      <c r="HA119" s="19"/>
      <c r="HB119" s="19"/>
      <c r="HC119" s="19"/>
      <c r="HD119" s="19"/>
      <c r="HE119" s="19"/>
      <c r="HF119" s="19"/>
      <c r="HG119" s="19"/>
      <c r="HH119" s="19"/>
      <c r="HI119" s="19"/>
      <c r="HJ119" s="19"/>
      <c r="HK119" s="19"/>
      <c r="HL119" s="19"/>
      <c r="HM119" s="19"/>
      <c r="HN119" s="19"/>
      <c r="HO119" s="19"/>
      <c r="HP119" s="19"/>
      <c r="HQ119" s="19"/>
      <c r="HR119" s="19"/>
      <c r="HS119" s="19"/>
      <c r="HT119" s="19"/>
      <c r="HU119" s="19"/>
      <c r="HV119" s="19"/>
      <c r="HW119" s="19"/>
      <c r="HX119" s="19"/>
      <c r="HY119" s="19"/>
      <c r="HZ119" s="19"/>
      <c r="IA119" s="19"/>
      <c r="IB119" s="19"/>
      <c r="IC119" s="19"/>
      <c r="ID119" s="19"/>
      <c r="IE119" s="19"/>
      <c r="IF119" s="19"/>
      <c r="IG119" s="19"/>
      <c r="IH119" s="19"/>
      <c r="II119" s="19"/>
      <c r="IJ119" s="19"/>
      <c r="IK119" s="19"/>
      <c r="IL119" s="19"/>
      <c r="IM119" s="19"/>
      <c r="IN119" s="19"/>
      <c r="IO119" s="19"/>
      <c r="IP119" s="19"/>
      <c r="IQ119" s="19"/>
      <c r="IR119" s="19"/>
      <c r="IS119" s="19"/>
      <c r="IT119" s="19"/>
      <c r="IU119" s="19"/>
      <c r="IV119" s="19"/>
    </row>
    <row r="120" s="3" customFormat="1" customHeight="1" spans="1:256">
      <c r="A120" s="17" t="s">
        <v>137</v>
      </c>
      <c r="B120" s="22">
        <f>B118+B119</f>
        <v>-60840000000</v>
      </c>
      <c r="C120" s="22">
        <f t="shared" ref="C120:Z120" si="7">C118+C119</f>
        <v>-57933000000</v>
      </c>
      <c r="D120" s="22">
        <f t="shared" si="7"/>
        <v>-56068000000</v>
      </c>
      <c r="E120" s="22">
        <f t="shared" si="7"/>
        <v>-53083000000</v>
      </c>
      <c r="F120" s="22">
        <f t="shared" si="7"/>
        <v>-51641000000</v>
      </c>
      <c r="G120" s="22">
        <f t="shared" si="7"/>
        <v>-49200000000</v>
      </c>
      <c r="H120" s="22">
        <f t="shared" si="7"/>
        <v>-46887000000</v>
      </c>
      <c r="I120" s="22">
        <f t="shared" si="7"/>
        <v>-44600000000</v>
      </c>
      <c r="J120" s="22">
        <f t="shared" si="7"/>
        <v>-42481000000</v>
      </c>
      <c r="K120" s="22">
        <f t="shared" si="7"/>
        <v>-40521000000</v>
      </c>
      <c r="L120" s="22">
        <f t="shared" si="7"/>
        <v>-38329000000</v>
      </c>
      <c r="M120" s="22">
        <f t="shared" si="7"/>
        <v>-35885000000</v>
      </c>
      <c r="N120" s="22">
        <f t="shared" si="7"/>
        <v>-33332000000</v>
      </c>
      <c r="O120" s="22">
        <f t="shared" si="7"/>
        <v>-31321000000</v>
      </c>
      <c r="P120" s="22">
        <f t="shared" si="7"/>
        <v>-29026000000</v>
      </c>
      <c r="Q120" s="22">
        <f t="shared" si="7"/>
        <v>-26070000000</v>
      </c>
      <c r="R120" s="22">
        <f t="shared" si="7"/>
        <v>-22118000000</v>
      </c>
      <c r="S120" s="22">
        <f t="shared" si="7"/>
        <v>-18533000000</v>
      </c>
      <c r="T120" s="22">
        <f t="shared" si="7"/>
        <v>-16076000000</v>
      </c>
      <c r="U120" s="22">
        <f t="shared" si="7"/>
        <v>-14500000000</v>
      </c>
      <c r="V120" s="22">
        <f t="shared" si="7"/>
        <v>-13026000000</v>
      </c>
      <c r="W120" s="22">
        <f t="shared" si="7"/>
        <v>-6169000000</v>
      </c>
      <c r="X120" s="22">
        <f t="shared" si="7"/>
        <v>-4283000000</v>
      </c>
      <c r="Y120" s="22">
        <f t="shared" si="7"/>
        <v>-1731000000</v>
      </c>
      <c r="Z120" s="22">
        <f t="shared" si="7"/>
        <v>0</v>
      </c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/>
      <c r="EQ120" s="19"/>
      <c r="ER120" s="19"/>
      <c r="ES120" s="19"/>
      <c r="ET120" s="19"/>
      <c r="EU120" s="19"/>
      <c r="EV120" s="19"/>
      <c r="EW120" s="19"/>
      <c r="EX120" s="19"/>
      <c r="EY120" s="19"/>
      <c r="EZ120" s="19"/>
      <c r="FA120" s="19"/>
      <c r="FB120" s="19"/>
      <c r="FC120" s="19"/>
      <c r="FD120" s="19"/>
      <c r="FE120" s="19"/>
      <c r="FF120" s="19"/>
      <c r="FG120" s="19"/>
      <c r="FH120" s="19"/>
      <c r="FI120" s="19"/>
      <c r="FJ120" s="19"/>
      <c r="FK120" s="19"/>
      <c r="FL120" s="19"/>
      <c r="FM120" s="19"/>
      <c r="FN120" s="19"/>
      <c r="FO120" s="19"/>
      <c r="FP120" s="19"/>
      <c r="FQ120" s="19"/>
      <c r="FR120" s="19"/>
      <c r="FS120" s="19"/>
      <c r="FT120" s="19"/>
      <c r="FU120" s="19"/>
      <c r="FV120" s="19"/>
      <c r="FW120" s="19"/>
      <c r="FX120" s="19"/>
      <c r="FY120" s="19"/>
      <c r="FZ120" s="19"/>
      <c r="GA120" s="19"/>
      <c r="GB120" s="19"/>
      <c r="GC120" s="19"/>
      <c r="GD120" s="19"/>
      <c r="GE120" s="19"/>
      <c r="GF120" s="19"/>
      <c r="GG120" s="19"/>
      <c r="GH120" s="19"/>
      <c r="GI120" s="19"/>
      <c r="GJ120" s="19"/>
      <c r="GK120" s="19"/>
      <c r="GL120" s="19"/>
      <c r="GM120" s="19"/>
      <c r="GN120" s="19"/>
      <c r="GO120" s="19"/>
      <c r="GP120" s="19"/>
      <c r="GQ120" s="19"/>
      <c r="GR120" s="19"/>
      <c r="GS120" s="19"/>
      <c r="GT120" s="19"/>
      <c r="GU120" s="19"/>
      <c r="GV120" s="19"/>
      <c r="GW120" s="19"/>
      <c r="GX120" s="19"/>
      <c r="GY120" s="19"/>
      <c r="GZ120" s="19"/>
      <c r="HA120" s="19"/>
      <c r="HB120" s="19"/>
      <c r="HC120" s="19"/>
      <c r="HD120" s="19"/>
      <c r="HE120" s="19"/>
      <c r="HF120" s="19"/>
      <c r="HG120" s="19"/>
      <c r="HH120" s="19"/>
      <c r="HI120" s="19"/>
      <c r="HJ120" s="19"/>
      <c r="HK120" s="19"/>
      <c r="HL120" s="19"/>
      <c r="HM120" s="19"/>
      <c r="HN120" s="19"/>
      <c r="HO120" s="19"/>
      <c r="HP120" s="19"/>
      <c r="HQ120" s="19"/>
      <c r="HR120" s="19"/>
      <c r="HS120" s="19"/>
      <c r="HT120" s="19"/>
      <c r="HU120" s="19"/>
      <c r="HV120" s="19"/>
      <c r="HW120" s="19"/>
      <c r="HX120" s="19"/>
      <c r="HY120" s="19"/>
      <c r="HZ120" s="19"/>
      <c r="IA120" s="19"/>
      <c r="IB120" s="19"/>
      <c r="IC120" s="19"/>
      <c r="ID120" s="19"/>
      <c r="IE120" s="19"/>
      <c r="IF120" s="19"/>
      <c r="IG120" s="19"/>
      <c r="IH120" s="19"/>
      <c r="II120" s="19"/>
      <c r="IJ120" s="19"/>
      <c r="IK120" s="19"/>
      <c r="IL120" s="19"/>
      <c r="IM120" s="19"/>
      <c r="IN120" s="19"/>
      <c r="IO120" s="19"/>
      <c r="IP120" s="19"/>
      <c r="IQ120" s="19"/>
      <c r="IR120" s="19"/>
      <c r="IS120" s="19"/>
      <c r="IT120" s="19"/>
      <c r="IU120" s="19"/>
      <c r="IV120" s="19"/>
    </row>
    <row r="121" s="3" customFormat="1" customHeight="1" spans="1:256">
      <c r="A121" s="17" t="s">
        <v>138</v>
      </c>
      <c r="B121" s="22">
        <f>B120+B94</f>
        <v>-2597000000</v>
      </c>
      <c r="C121" s="22">
        <f t="shared" ref="C121:Z121" si="8">C120+C94</f>
        <v>-3072000000</v>
      </c>
      <c r="D121" s="22">
        <f t="shared" si="8"/>
        <v>-2362000000</v>
      </c>
      <c r="E121" s="22">
        <f t="shared" si="8"/>
        <v>-3392000000</v>
      </c>
      <c r="F121" s="22">
        <f t="shared" si="8"/>
        <v>-779000000</v>
      </c>
      <c r="G121" s="22">
        <f t="shared" si="8"/>
        <v>-1655000000</v>
      </c>
      <c r="H121" s="22">
        <f t="shared" si="8"/>
        <v>372000000</v>
      </c>
      <c r="I121" s="22">
        <f t="shared" si="8"/>
        <v>-973000000</v>
      </c>
      <c r="J121" s="22">
        <f t="shared" si="8"/>
        <v>-1825000000</v>
      </c>
      <c r="K121" s="22">
        <f t="shared" si="8"/>
        <v>-1480000000</v>
      </c>
      <c r="L121" s="22">
        <f t="shared" si="8"/>
        <v>-1446000000</v>
      </c>
      <c r="M121" s="22">
        <f t="shared" si="8"/>
        <v>-3249000000</v>
      </c>
      <c r="N121" s="22">
        <f t="shared" si="8"/>
        <v>-4001000000</v>
      </c>
      <c r="O121" s="22">
        <f t="shared" si="8"/>
        <v>-4575000000</v>
      </c>
      <c r="P121" s="22">
        <f t="shared" si="8"/>
        <v>-4564000000</v>
      </c>
      <c r="Q121" s="22">
        <f t="shared" si="8"/>
        <v>-444000000</v>
      </c>
      <c r="R121" s="22">
        <f t="shared" si="8"/>
        <v>-840000000</v>
      </c>
      <c r="S121" s="22">
        <f t="shared" si="8"/>
        <v>430000000</v>
      </c>
      <c r="T121" s="22">
        <f t="shared" si="8"/>
        <v>526000000</v>
      </c>
      <c r="U121" s="22">
        <f t="shared" si="8"/>
        <v>-924000000</v>
      </c>
      <c r="V121" s="22">
        <f t="shared" si="8"/>
        <v>-3399000000</v>
      </c>
      <c r="W121" s="22">
        <f t="shared" si="8"/>
        <v>1120000000</v>
      </c>
      <c r="X121" s="22">
        <f t="shared" si="8"/>
        <v>665000000</v>
      </c>
      <c r="Y121" s="22">
        <f t="shared" si="8"/>
        <v>1408000000</v>
      </c>
      <c r="Z121" s="22">
        <f t="shared" si="8"/>
        <v>0</v>
      </c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/>
      <c r="EQ121" s="19"/>
      <c r="ER121" s="19"/>
      <c r="ES121" s="19"/>
      <c r="ET121" s="19"/>
      <c r="EU121" s="19"/>
      <c r="EV121" s="19"/>
      <c r="EW121" s="19"/>
      <c r="EX121" s="19"/>
      <c r="EY121" s="19"/>
      <c r="EZ121" s="19"/>
      <c r="FA121" s="19"/>
      <c r="FB121" s="19"/>
      <c r="FC121" s="19"/>
      <c r="FD121" s="19"/>
      <c r="FE121" s="19"/>
      <c r="FF121" s="19"/>
      <c r="FG121" s="19"/>
      <c r="FH121" s="19"/>
      <c r="FI121" s="19"/>
      <c r="FJ121" s="19"/>
      <c r="FK121" s="19"/>
      <c r="FL121" s="19"/>
      <c r="FM121" s="19"/>
      <c r="FN121" s="19"/>
      <c r="FO121" s="19"/>
      <c r="FP121" s="19"/>
      <c r="FQ121" s="19"/>
      <c r="FR121" s="19"/>
      <c r="FS121" s="19"/>
      <c r="FT121" s="19"/>
      <c r="FU121" s="19"/>
      <c r="FV121" s="19"/>
      <c r="FW121" s="19"/>
      <c r="FX121" s="19"/>
      <c r="FY121" s="19"/>
      <c r="FZ121" s="19"/>
      <c r="GA121" s="19"/>
      <c r="GB121" s="19"/>
      <c r="GC121" s="19"/>
      <c r="GD121" s="19"/>
      <c r="GE121" s="19"/>
      <c r="GF121" s="19"/>
      <c r="GG121" s="19"/>
      <c r="GH121" s="19"/>
      <c r="GI121" s="19"/>
      <c r="GJ121" s="19"/>
      <c r="GK121" s="19"/>
      <c r="GL121" s="19"/>
      <c r="GM121" s="19"/>
      <c r="GN121" s="19"/>
      <c r="GO121" s="19"/>
      <c r="GP121" s="19"/>
      <c r="GQ121" s="19"/>
      <c r="GR121" s="19"/>
      <c r="GS121" s="19"/>
      <c r="GT121" s="19"/>
      <c r="GU121" s="19"/>
      <c r="GV121" s="19"/>
      <c r="GW121" s="19"/>
      <c r="GX121" s="19"/>
      <c r="GY121" s="19"/>
      <c r="GZ121" s="19"/>
      <c r="HA121" s="19"/>
      <c r="HB121" s="19"/>
      <c r="HC121" s="19"/>
      <c r="HD121" s="19"/>
      <c r="HE121" s="19"/>
      <c r="HF121" s="19"/>
      <c r="HG121" s="19"/>
      <c r="HH121" s="19"/>
      <c r="HI121" s="19"/>
      <c r="HJ121" s="19"/>
      <c r="HK121" s="19"/>
      <c r="HL121" s="19"/>
      <c r="HM121" s="19"/>
      <c r="HN121" s="19"/>
      <c r="HO121" s="19"/>
      <c r="HP121" s="19"/>
      <c r="HQ121" s="19"/>
      <c r="HR121" s="19"/>
      <c r="HS121" s="19"/>
      <c r="HT121" s="19"/>
      <c r="HU121" s="19"/>
      <c r="HV121" s="19"/>
      <c r="HW121" s="19"/>
      <c r="HX121" s="19"/>
      <c r="HY121" s="19"/>
      <c r="HZ121" s="19"/>
      <c r="IA121" s="19"/>
      <c r="IB121" s="19"/>
      <c r="IC121" s="19"/>
      <c r="ID121" s="19"/>
      <c r="IE121" s="19"/>
      <c r="IF121" s="19"/>
      <c r="IG121" s="19"/>
      <c r="IH121" s="19"/>
      <c r="II121" s="19"/>
      <c r="IJ121" s="19"/>
      <c r="IK121" s="19"/>
      <c r="IL121" s="19"/>
      <c r="IM121" s="19"/>
      <c r="IN121" s="19"/>
      <c r="IO121" s="19"/>
      <c r="IP121" s="19"/>
      <c r="IQ121" s="19"/>
      <c r="IR121" s="19"/>
      <c r="IS121" s="19"/>
      <c r="IT121" s="19"/>
      <c r="IU121" s="19"/>
      <c r="IV121" s="19"/>
    </row>
    <row r="122" customHeight="1" spans="1:26">
      <c r="A122" s="14" t="s">
        <v>139</v>
      </c>
      <c r="B122" s="15">
        <v>-262000000</v>
      </c>
      <c r="C122" s="16">
        <v>154000000</v>
      </c>
      <c r="D122" s="16">
        <v>19000000</v>
      </c>
      <c r="E122" s="16">
        <v>79000000</v>
      </c>
      <c r="F122" s="16">
        <v>106000000</v>
      </c>
      <c r="G122" s="16">
        <v>253000000</v>
      </c>
      <c r="H122" s="16">
        <v>-484000000</v>
      </c>
      <c r="I122" s="16">
        <v>53000000</v>
      </c>
      <c r="J122" s="16">
        <v>156000000</v>
      </c>
      <c r="K122" s="16">
        <v>144000000</v>
      </c>
      <c r="L122" s="16">
        <v>-247000000</v>
      </c>
      <c r="M122" s="16">
        <v>-85000000</v>
      </c>
      <c r="N122" s="16">
        <v>-683000000</v>
      </c>
      <c r="O122" s="16">
        <v>-295000000</v>
      </c>
      <c r="P122" s="16">
        <v>-326000000</v>
      </c>
      <c r="Q122" s="16">
        <v>-278000000</v>
      </c>
      <c r="R122" s="16">
        <v>18000000</v>
      </c>
      <c r="S122" s="16">
        <v>33000000</v>
      </c>
      <c r="T122" s="16">
        <v>-48000000</v>
      </c>
      <c r="U122" s="16">
        <v>3000000</v>
      </c>
      <c r="V122" s="16">
        <v>-107000000</v>
      </c>
      <c r="W122" s="16">
        <v>-194000000</v>
      </c>
      <c r="X122" s="16">
        <v>-102000000</v>
      </c>
      <c r="Y122" s="16">
        <v>46000000</v>
      </c>
      <c r="Z122" s="16">
        <v>0</v>
      </c>
    </row>
    <row r="123" customHeight="1" spans="1:26">
      <c r="A123" s="14" t="s">
        <v>140</v>
      </c>
      <c r="B123" s="15">
        <v>826000000</v>
      </c>
      <c r="C123" s="16">
        <v>-1610000000</v>
      </c>
      <c r="D123" s="16">
        <v>-1809000000</v>
      </c>
      <c r="E123" s="16">
        <v>115000000</v>
      </c>
      <c r="F123" s="16">
        <v>-3922000000</v>
      </c>
      <c r="G123" s="16">
        <v>5193000000</v>
      </c>
      <c r="H123" s="16">
        <v>-1392000000</v>
      </c>
      <c r="I123" s="16">
        <v>1299000000</v>
      </c>
      <c r="J123" s="16">
        <v>-3108000000</v>
      </c>
      <c r="K123" s="16">
        <v>1192000000</v>
      </c>
      <c r="L123" s="16">
        <v>976000000</v>
      </c>
      <c r="M123" s="16">
        <v>626000000</v>
      </c>
      <c r="N123" s="16">
        <v>-1058000000</v>
      </c>
      <c r="O123" s="16">
        <v>539000000</v>
      </c>
      <c r="P123" s="16">
        <v>-3929000000</v>
      </c>
      <c r="Q123" s="16">
        <v>1627000000</v>
      </c>
      <c r="R123" s="16">
        <v>-6085000000</v>
      </c>
      <c r="S123" s="16">
        <v>207000000</v>
      </c>
      <c r="T123" s="16">
        <v>1531000000</v>
      </c>
      <c r="U123" s="16">
        <v>-1000000000</v>
      </c>
      <c r="V123" s="16">
        <v>2066000000</v>
      </c>
      <c r="W123" s="16">
        <v>-427000000</v>
      </c>
      <c r="X123" s="16">
        <v>-3909000000</v>
      </c>
      <c r="Y123" s="16">
        <v>608000000</v>
      </c>
      <c r="Z123" s="16">
        <v>0</v>
      </c>
    </row>
    <row r="124" customHeight="1" spans="1:26">
      <c r="A124" s="14" t="s">
        <v>141</v>
      </c>
      <c r="B124" s="15">
        <v>3382000000</v>
      </c>
      <c r="C124" s="16">
        <v>1155000000</v>
      </c>
      <c r="D124" s="16">
        <v>4015000000</v>
      </c>
      <c r="E124" s="16">
        <v>-1171000000</v>
      </c>
      <c r="F124" s="16">
        <v>3317000000</v>
      </c>
      <c r="G124" s="16">
        <v>286000000</v>
      </c>
      <c r="H124" s="16">
        <v>3632000000</v>
      </c>
      <c r="I124" s="16">
        <v>2971000000</v>
      </c>
      <c r="J124" s="16">
        <v>1615000000</v>
      </c>
      <c r="K124" s="16">
        <v>2158000000</v>
      </c>
      <c r="L124" s="16">
        <v>4247000000</v>
      </c>
      <c r="M124" s="16">
        <v>3305000000</v>
      </c>
      <c r="N124" s="16">
        <v>2585000000</v>
      </c>
      <c r="O124" s="16">
        <v>2284000000</v>
      </c>
      <c r="P124" s="16">
        <v>-1164000000</v>
      </c>
      <c r="Q124" s="16">
        <v>4348000000</v>
      </c>
      <c r="R124" s="16">
        <v>2315000000</v>
      </c>
      <c r="S124" s="16">
        <v>2361000000</v>
      </c>
      <c r="T124" s="16">
        <v>3026000000</v>
      </c>
      <c r="U124" s="16">
        <v>3949000000</v>
      </c>
      <c r="V124" s="16">
        <v>2338000000</v>
      </c>
      <c r="W124" s="16">
        <v>2341000000</v>
      </c>
      <c r="X124" s="16">
        <v>1809000000</v>
      </c>
      <c r="Y124" s="16">
        <v>3139000000</v>
      </c>
      <c r="Z124" s="16">
        <v>0</v>
      </c>
    </row>
    <row r="125" customHeight="1" spans="1:26">
      <c r="A125" s="14" t="s">
        <v>142</v>
      </c>
      <c r="B125" s="15">
        <v>-583000000</v>
      </c>
      <c r="C125" s="16">
        <v>-450000000</v>
      </c>
      <c r="D125" s="16">
        <v>-715000000</v>
      </c>
      <c r="E125" s="16">
        <v>-441000000</v>
      </c>
      <c r="F125" s="16">
        <v>-393000000</v>
      </c>
      <c r="G125" s="16">
        <v>-339000000</v>
      </c>
      <c r="H125" s="16">
        <v>-551000000</v>
      </c>
      <c r="I125" s="16">
        <v>-409000000</v>
      </c>
      <c r="J125" s="16">
        <v>-375000000</v>
      </c>
      <c r="K125" s="16">
        <v>-279000000</v>
      </c>
      <c r="L125" s="16">
        <v>-493000000</v>
      </c>
      <c r="M125" s="16">
        <v>-316000000</v>
      </c>
      <c r="N125" s="16">
        <v>-271000000</v>
      </c>
      <c r="O125" s="16">
        <v>-203000000</v>
      </c>
      <c r="P125" s="16">
        <v>-1490000000</v>
      </c>
      <c r="Q125" s="16">
        <v>-320000000</v>
      </c>
      <c r="R125" s="16">
        <v>-302000000</v>
      </c>
      <c r="S125" s="16">
        <v>-205000000</v>
      </c>
      <c r="T125" s="16">
        <v>-429000000</v>
      </c>
      <c r="U125" s="16">
        <v>-355000000</v>
      </c>
      <c r="V125" s="16">
        <v>-413000000</v>
      </c>
      <c r="W125" s="16">
        <v>-351000000</v>
      </c>
      <c r="X125" s="16">
        <v>-778000000</v>
      </c>
      <c r="Y125" s="16">
        <v>-414000000</v>
      </c>
      <c r="Z125" s="16">
        <v>0</v>
      </c>
    </row>
    <row r="126" customHeight="1" spans="1:26">
      <c r="A126" s="11" t="s">
        <v>143</v>
      </c>
      <c r="B126" s="12">
        <v>2799000000</v>
      </c>
      <c r="C126" s="13">
        <v>705000000</v>
      </c>
      <c r="D126" s="13">
        <v>3300000000</v>
      </c>
      <c r="E126" s="13">
        <v>-1612000000</v>
      </c>
      <c r="F126" s="13">
        <v>2924000000</v>
      </c>
      <c r="G126" s="13">
        <v>-53000000</v>
      </c>
      <c r="H126" s="13">
        <v>3081000000</v>
      </c>
      <c r="I126" s="13">
        <v>2562000000</v>
      </c>
      <c r="J126" s="13">
        <v>1240000000</v>
      </c>
      <c r="K126" s="13">
        <v>1879000000</v>
      </c>
      <c r="L126" s="13">
        <v>3754000000</v>
      </c>
      <c r="M126" s="13">
        <v>2989000000</v>
      </c>
      <c r="N126" s="13">
        <v>2314000000</v>
      </c>
      <c r="O126" s="13">
        <v>2081000000</v>
      </c>
      <c r="P126" s="13">
        <v>-2654000000</v>
      </c>
      <c r="Q126" s="13">
        <v>4028000000</v>
      </c>
      <c r="R126" s="13">
        <v>2013000000</v>
      </c>
      <c r="S126" s="13">
        <v>2156000000</v>
      </c>
      <c r="T126" s="13">
        <v>2597000000</v>
      </c>
      <c r="U126" s="13">
        <v>3594000000</v>
      </c>
      <c r="V126" s="13">
        <v>1925000000</v>
      </c>
      <c r="W126" s="13">
        <v>1990000000</v>
      </c>
      <c r="X126" s="13">
        <v>1031000000</v>
      </c>
      <c r="Y126" s="13">
        <v>2725000000</v>
      </c>
      <c r="Z126" s="13">
        <v>0</v>
      </c>
    </row>
    <row r="127" customHeight="1" spans="1:26">
      <c r="A127" s="11" t="s">
        <v>144</v>
      </c>
      <c r="B127" s="12">
        <v>4486000000</v>
      </c>
      <c r="C127" s="13">
        <v>6096000000</v>
      </c>
      <c r="D127" s="13">
        <v>7901000000</v>
      </c>
      <c r="E127" s="13">
        <v>7786000000</v>
      </c>
      <c r="F127" s="13">
        <v>11708000000</v>
      </c>
      <c r="G127" s="13">
        <v>6515000000</v>
      </c>
      <c r="H127" s="13">
        <v>7907000000</v>
      </c>
      <c r="I127" s="13">
        <v>6608000000</v>
      </c>
      <c r="J127" s="13">
        <v>9716000000</v>
      </c>
      <c r="K127" s="13">
        <v>8524000000</v>
      </c>
      <c r="L127" s="13">
        <v>7548000000</v>
      </c>
      <c r="M127" s="13">
        <v>6922000000</v>
      </c>
      <c r="N127" s="13">
        <v>7980000000</v>
      </c>
      <c r="O127" s="13">
        <v>7441000000</v>
      </c>
      <c r="P127" s="13">
        <v>11370000000</v>
      </c>
      <c r="Q127" s="13">
        <v>9743000000</v>
      </c>
      <c r="R127" s="13">
        <v>15828000000</v>
      </c>
      <c r="S127" s="13">
        <v>15621000000</v>
      </c>
      <c r="T127" s="13">
        <v>14090000000</v>
      </c>
      <c r="U127" s="13">
        <v>15090000000</v>
      </c>
      <c r="V127" s="13">
        <v>13024000000</v>
      </c>
      <c r="W127" s="13">
        <v>13451000000</v>
      </c>
      <c r="X127" s="13">
        <v>17360000000</v>
      </c>
      <c r="Y127" s="13">
        <v>16752000000</v>
      </c>
      <c r="Z127" s="13">
        <v>0</v>
      </c>
    </row>
    <row r="128" customHeight="1" spans="1:26">
      <c r="A128" s="11" t="s">
        <v>145</v>
      </c>
      <c r="B128" s="12">
        <v>5312000000</v>
      </c>
      <c r="C128" s="13">
        <v>4486000000</v>
      </c>
      <c r="D128" s="13">
        <v>6092000000</v>
      </c>
      <c r="E128" s="13">
        <v>7901000000</v>
      </c>
      <c r="F128" s="13">
        <v>7786000000</v>
      </c>
      <c r="G128" s="13">
        <v>11708000000</v>
      </c>
      <c r="H128" s="13">
        <v>6515000000</v>
      </c>
      <c r="I128" s="13">
        <v>7907000000</v>
      </c>
      <c r="J128" s="13">
        <v>6608000000</v>
      </c>
      <c r="K128" s="13">
        <v>9716000000</v>
      </c>
      <c r="L128" s="13">
        <v>8524000000</v>
      </c>
      <c r="M128" s="13">
        <v>7548000000</v>
      </c>
      <c r="N128" s="13">
        <v>6922000000</v>
      </c>
      <c r="O128" s="13">
        <v>7980000000</v>
      </c>
      <c r="P128" s="13">
        <v>7441000000</v>
      </c>
      <c r="Q128" s="13">
        <v>11370000000</v>
      </c>
      <c r="R128" s="13">
        <v>9743000000</v>
      </c>
      <c r="S128" s="13">
        <v>15828000000</v>
      </c>
      <c r="T128" s="13">
        <v>15621000000</v>
      </c>
      <c r="U128" s="13">
        <v>14090000000</v>
      </c>
      <c r="V128" s="13">
        <v>15090000000</v>
      </c>
      <c r="W128" s="13">
        <v>13024000000</v>
      </c>
      <c r="X128" s="13">
        <v>13451000000</v>
      </c>
      <c r="Y128" s="13">
        <v>17360000000</v>
      </c>
      <c r="Z128" s="13">
        <v>0</v>
      </c>
    </row>
    <row r="129" customHeight="1" spans="1:26">
      <c r="A129" s="20"/>
      <c r="B129" s="15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30.75" customHeight="1" spans="1:26">
      <c r="A130" s="21" t="s">
        <v>146</v>
      </c>
      <c r="B130" s="15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customHeight="1" spans="1:26">
      <c r="A131" s="11" t="s">
        <v>147</v>
      </c>
      <c r="B131" s="12">
        <v>10465000000</v>
      </c>
      <c r="C131" s="13">
        <v>10037000000</v>
      </c>
      <c r="D131" s="13">
        <v>10433000000</v>
      </c>
      <c r="E131" s="13">
        <v>10325000000</v>
      </c>
      <c r="F131" s="13">
        <v>9930000000</v>
      </c>
      <c r="G131" s="13">
        <v>9434000000</v>
      </c>
      <c r="H131" s="13">
        <v>10115000000</v>
      </c>
      <c r="I131" s="13">
        <v>10536000000</v>
      </c>
      <c r="J131" s="13">
        <v>9844000000</v>
      </c>
      <c r="K131" s="13">
        <v>9312000000</v>
      </c>
      <c r="L131" s="13">
        <v>10215000000</v>
      </c>
      <c r="M131" s="13">
        <v>10073000000</v>
      </c>
      <c r="N131" s="13">
        <v>9785000000</v>
      </c>
      <c r="O131" s="13">
        <v>9425000000</v>
      </c>
      <c r="P131" s="13">
        <v>10482000000</v>
      </c>
      <c r="Q131" s="13">
        <v>10557000000</v>
      </c>
      <c r="R131" s="13">
        <v>10934000000</v>
      </c>
      <c r="S131" s="13">
        <v>10264000000</v>
      </c>
      <c r="T131" s="13">
        <v>11320000000</v>
      </c>
      <c r="U131" s="13">
        <v>11032000000</v>
      </c>
      <c r="V131" s="13">
        <v>11010000000</v>
      </c>
      <c r="W131" s="13">
        <v>10671000000</v>
      </c>
      <c r="X131" s="13">
        <v>11737000000</v>
      </c>
      <c r="Y131" s="13">
        <v>11488000000</v>
      </c>
      <c r="Z131" s="13">
        <v>12311000000</v>
      </c>
    </row>
    <row r="132" customHeight="1" spans="1:26">
      <c r="A132" s="11" t="s">
        <v>148</v>
      </c>
      <c r="B132" s="12">
        <v>7048000000</v>
      </c>
      <c r="C132" s="13">
        <v>6853000000</v>
      </c>
      <c r="D132" s="13">
        <v>7027000000</v>
      </c>
      <c r="E132" s="13">
        <v>7051000000</v>
      </c>
      <c r="F132" s="13">
        <v>6850000000</v>
      </c>
      <c r="G132" s="13">
        <v>6419000000</v>
      </c>
      <c r="H132" s="13">
        <v>6783000000</v>
      </c>
      <c r="I132" s="13">
        <v>7127000000</v>
      </c>
      <c r="J132" s="13">
        <v>6266000000</v>
      </c>
      <c r="K132" s="13">
        <v>5740000000</v>
      </c>
      <c r="L132" s="13">
        <v>6365000000</v>
      </c>
      <c r="M132" s="13">
        <v>6312000000</v>
      </c>
      <c r="N132" s="13">
        <v>6031000000</v>
      </c>
      <c r="O132" s="13">
        <v>5856000000</v>
      </c>
      <c r="P132" s="13">
        <v>6733000000</v>
      </c>
      <c r="Q132" s="13">
        <v>6334000000</v>
      </c>
      <c r="R132" s="13">
        <v>6041000000</v>
      </c>
      <c r="S132" s="13">
        <v>6361000000</v>
      </c>
      <c r="T132" s="13">
        <v>6713000000</v>
      </c>
      <c r="U132" s="13">
        <v>6928000000</v>
      </c>
      <c r="V132" s="13">
        <v>6726000000</v>
      </c>
      <c r="W132" s="13">
        <v>6712000000</v>
      </c>
      <c r="X132" s="13">
        <v>7577000000</v>
      </c>
      <c r="Y132" s="13">
        <v>7351000000</v>
      </c>
      <c r="Z132" s="13">
        <v>8199000000</v>
      </c>
    </row>
    <row r="133" customHeight="1" spans="1:26">
      <c r="A133" s="11" t="s">
        <v>149</v>
      </c>
      <c r="B133" s="12">
        <v>3417000000</v>
      </c>
      <c r="C133" s="13">
        <v>3184000000</v>
      </c>
      <c r="D133" s="13">
        <v>3406000000</v>
      </c>
      <c r="E133" s="13">
        <v>3274000000</v>
      </c>
      <c r="F133" s="13">
        <v>3080000000</v>
      </c>
      <c r="G133" s="13">
        <v>3015000000</v>
      </c>
      <c r="H133" s="13">
        <v>3332000000</v>
      </c>
      <c r="I133" s="13">
        <v>3409000000</v>
      </c>
      <c r="J133" s="13">
        <v>3578000000</v>
      </c>
      <c r="K133" s="13">
        <v>3572000000</v>
      </c>
      <c r="L133" s="13">
        <v>3850000000</v>
      </c>
      <c r="M133" s="13">
        <v>3761000000</v>
      </c>
      <c r="N133" s="13">
        <v>3754000000</v>
      </c>
      <c r="O133" s="13">
        <v>3569000000</v>
      </c>
      <c r="P133" s="13">
        <v>3749000000</v>
      </c>
      <c r="Q133" s="13">
        <v>4223000000</v>
      </c>
      <c r="R133" s="13">
        <v>4893000000</v>
      </c>
      <c r="S133" s="13">
        <v>3903000000</v>
      </c>
      <c r="T133" s="13">
        <v>4607000000</v>
      </c>
      <c r="U133" s="13">
        <v>4104000000</v>
      </c>
      <c r="V133" s="13">
        <v>4284000000</v>
      </c>
      <c r="W133" s="13">
        <v>3959000000</v>
      </c>
      <c r="X133" s="13">
        <v>4160000000</v>
      </c>
      <c r="Y133" s="13">
        <v>4137000000</v>
      </c>
      <c r="Z133" s="13">
        <v>0</v>
      </c>
    </row>
    <row r="134" customHeight="1" spans="1:26">
      <c r="A134" s="14" t="s">
        <v>62</v>
      </c>
      <c r="B134" s="15">
        <v>0</v>
      </c>
      <c r="C134" s="16">
        <v>0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</row>
    <row r="135" customHeight="1" spans="1:26">
      <c r="A135" s="14" t="s">
        <v>150</v>
      </c>
      <c r="B135" s="15">
        <v>194000000</v>
      </c>
      <c r="C135" s="16">
        <v>185000000</v>
      </c>
      <c r="D135" s="16">
        <v>190000000</v>
      </c>
      <c r="E135" s="16">
        <v>189000000</v>
      </c>
      <c r="F135" s="16">
        <v>193000000</v>
      </c>
      <c r="G135" s="16">
        <v>182000000</v>
      </c>
      <c r="H135" s="16">
        <v>180000000</v>
      </c>
      <c r="I135" s="16">
        <v>170000000</v>
      </c>
      <c r="J135" s="16">
        <v>171000000</v>
      </c>
      <c r="K135" s="16">
        <v>172000000</v>
      </c>
      <c r="L135" s="16">
        <v>169000000</v>
      </c>
      <c r="M135" s="16">
        <v>165000000</v>
      </c>
      <c r="N135" s="16">
        <v>174000000</v>
      </c>
      <c r="O135" s="16">
        <v>164000000</v>
      </c>
      <c r="P135" s="16">
        <v>165000000</v>
      </c>
      <c r="Q135" s="16">
        <v>191000000</v>
      </c>
      <c r="R135" s="16">
        <v>188000000</v>
      </c>
      <c r="S135" s="16">
        <v>188000000</v>
      </c>
      <c r="T135" s="16">
        <v>201000000</v>
      </c>
      <c r="U135" s="16">
        <v>215000000</v>
      </c>
      <c r="V135" s="16">
        <v>201000000</v>
      </c>
      <c r="W135" s="16">
        <v>0</v>
      </c>
      <c r="X135" s="16">
        <v>190000000</v>
      </c>
      <c r="Y135" s="16">
        <v>178000000</v>
      </c>
      <c r="Z135" s="16">
        <v>0</v>
      </c>
    </row>
    <row r="136" customHeight="1" spans="1:26">
      <c r="A136" s="14" t="s">
        <v>151</v>
      </c>
      <c r="B136" s="15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customHeight="1" spans="1:26">
      <c r="A137" s="14" t="s">
        <v>152</v>
      </c>
      <c r="B137" s="15">
        <v>0</v>
      </c>
      <c r="C137" s="16">
        <v>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</row>
    <row r="138" customHeight="1" spans="1:26">
      <c r="A138" s="14" t="s">
        <v>153</v>
      </c>
      <c r="B138" s="15">
        <v>0</v>
      </c>
      <c r="C138" s="16">
        <v>0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</row>
    <row r="139" customHeight="1" spans="1:26">
      <c r="A139" s="14" t="s">
        <v>154</v>
      </c>
      <c r="B139" s="15">
        <v>0</v>
      </c>
      <c r="C139" s="16">
        <v>0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</row>
    <row r="140" customHeight="1" spans="1:26">
      <c r="A140" s="14" t="s">
        <v>155</v>
      </c>
      <c r="B140" s="15">
        <v>0</v>
      </c>
      <c r="C140" s="16">
        <v>0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</row>
    <row r="141" customHeight="1" spans="1:26">
      <c r="A141" s="14" t="s">
        <v>156</v>
      </c>
      <c r="B141" s="15">
        <v>0</v>
      </c>
      <c r="C141" s="16">
        <v>0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</row>
    <row r="142" customHeight="1" spans="1:26">
      <c r="A142" s="14" t="s">
        <v>157</v>
      </c>
      <c r="B142" s="15">
        <v>0</v>
      </c>
      <c r="C142" s="16">
        <v>0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</row>
    <row r="143" customHeight="1" spans="1:26">
      <c r="A143" s="11" t="s">
        <v>158</v>
      </c>
      <c r="B143" s="12">
        <v>4652000000</v>
      </c>
      <c r="C143" s="13">
        <v>5569000000</v>
      </c>
      <c r="D143" s="13">
        <v>4860000000</v>
      </c>
      <c r="E143" s="13">
        <v>6784000000</v>
      </c>
      <c r="F143" s="13">
        <v>4187000000</v>
      </c>
      <c r="G143" s="13">
        <v>4207000000</v>
      </c>
      <c r="H143" s="13">
        <v>7242000000</v>
      </c>
      <c r="I143" s="13">
        <v>4057000000</v>
      </c>
      <c r="J143" s="13">
        <v>4609000000</v>
      </c>
      <c r="K143" s="13">
        <v>3977000000</v>
      </c>
      <c r="L143" s="13">
        <v>4646000000</v>
      </c>
      <c r="M143" s="13">
        <v>4085000000</v>
      </c>
      <c r="N143" s="13">
        <v>4485000000</v>
      </c>
      <c r="O143" s="13">
        <v>4420000000</v>
      </c>
      <c r="P143" s="13">
        <v>5557000000</v>
      </c>
      <c r="Q143" s="13">
        <v>5010000000</v>
      </c>
      <c r="R143" s="13">
        <v>4800000000</v>
      </c>
      <c r="S143" s="13">
        <v>4433000000</v>
      </c>
      <c r="T143" s="13">
        <v>5329000000</v>
      </c>
      <c r="U143" s="13">
        <v>5231000000</v>
      </c>
      <c r="V143" s="13">
        <v>5280000000</v>
      </c>
      <c r="W143" s="13">
        <v>5162000000</v>
      </c>
      <c r="X143" s="13">
        <v>5805000000</v>
      </c>
      <c r="Y143" s="13">
        <v>5091000000</v>
      </c>
      <c r="Z143" s="13">
        <v>0</v>
      </c>
    </row>
    <row r="144" customHeight="1" spans="1:26">
      <c r="A144" s="14" t="s">
        <v>159</v>
      </c>
      <c r="B144" s="15">
        <v>2274000000</v>
      </c>
      <c r="C144" s="16">
        <v>3196000000</v>
      </c>
      <c r="D144" s="16">
        <v>2281000000</v>
      </c>
      <c r="E144" s="16">
        <v>4383000000</v>
      </c>
      <c r="F144" s="16">
        <v>1749000000</v>
      </c>
      <c r="G144" s="16">
        <v>1796000000</v>
      </c>
      <c r="H144" s="16">
        <v>4649000000</v>
      </c>
      <c r="I144" s="16">
        <v>1664000000</v>
      </c>
      <c r="J144" s="16">
        <v>2151000000</v>
      </c>
      <c r="K144" s="16">
        <v>1659000000</v>
      </c>
      <c r="L144" s="16">
        <v>1798000000</v>
      </c>
      <c r="M144" s="16">
        <v>1500000000</v>
      </c>
      <c r="N144" s="16">
        <v>1670000000</v>
      </c>
      <c r="O144" s="16">
        <v>1737000000</v>
      </c>
      <c r="P144" s="16">
        <v>2283000000</v>
      </c>
      <c r="Q144" s="16">
        <v>1659000000</v>
      </c>
      <c r="R144" s="16">
        <v>1664000000</v>
      </c>
      <c r="S144" s="16">
        <v>1574000000</v>
      </c>
      <c r="T144" s="16">
        <v>1835000000</v>
      </c>
      <c r="U144" s="16">
        <v>1660000000</v>
      </c>
      <c r="V144" s="16">
        <v>2101000000</v>
      </c>
      <c r="W144" s="16">
        <v>1907000000</v>
      </c>
      <c r="X144" s="16">
        <v>2224000000</v>
      </c>
      <c r="Y144" s="16">
        <v>1918000000</v>
      </c>
      <c r="Z144" s="16">
        <v>0</v>
      </c>
    </row>
    <row r="145" customHeight="1" spans="1:26">
      <c r="A145" s="14" t="s">
        <v>160</v>
      </c>
      <c r="B145" s="15">
        <v>2378000000</v>
      </c>
      <c r="C145" s="16">
        <v>2373000000</v>
      </c>
      <c r="D145" s="16">
        <v>2579000000</v>
      </c>
      <c r="E145" s="16">
        <v>2401000000</v>
      </c>
      <c r="F145" s="16">
        <v>2438000000</v>
      </c>
      <c r="G145" s="16">
        <v>2411000000</v>
      </c>
      <c r="H145" s="16">
        <v>2593000000</v>
      </c>
      <c r="I145" s="16">
        <v>2393000000</v>
      </c>
      <c r="J145" s="16">
        <v>2458000000</v>
      </c>
      <c r="K145" s="16">
        <v>2318000000</v>
      </c>
      <c r="L145" s="16">
        <v>2615000000</v>
      </c>
      <c r="M145" s="16">
        <v>2472000000</v>
      </c>
      <c r="N145" s="16">
        <v>2624000000</v>
      </c>
      <c r="O145" s="16">
        <v>2601000000</v>
      </c>
      <c r="P145" s="16">
        <v>2925000000</v>
      </c>
      <c r="Q145" s="16">
        <v>2975000000</v>
      </c>
      <c r="R145" s="16">
        <v>2973000000</v>
      </c>
      <c r="S145" s="16">
        <v>2734000000</v>
      </c>
      <c r="T145" s="16">
        <v>2982000000</v>
      </c>
      <c r="U145" s="16">
        <v>2803000000</v>
      </c>
      <c r="V145" s="16">
        <v>3140000000</v>
      </c>
      <c r="W145" s="16">
        <v>2987000000</v>
      </c>
      <c r="X145" s="16">
        <v>3390000000</v>
      </c>
      <c r="Y145" s="16">
        <v>3063000000</v>
      </c>
      <c r="Z145" s="16">
        <v>0</v>
      </c>
    </row>
    <row r="146" s="3" customFormat="1" customHeight="1" spans="1:256">
      <c r="A146" s="17" t="s">
        <v>161</v>
      </c>
      <c r="B146" s="12">
        <f>B144/B145</f>
        <v>0.956265769554247</v>
      </c>
      <c r="C146" s="12">
        <f t="shared" ref="C146:Z146" si="9">C144/C145</f>
        <v>1.34681837336705</v>
      </c>
      <c r="D146" s="12">
        <f t="shared" si="9"/>
        <v>0.884451337727801</v>
      </c>
      <c r="E146" s="12">
        <f t="shared" si="9"/>
        <v>1.82548937942524</v>
      </c>
      <c r="F146" s="12">
        <f t="shared" si="9"/>
        <v>0.717391304347826</v>
      </c>
      <c r="G146" s="12">
        <f t="shared" si="9"/>
        <v>0.744919120696806</v>
      </c>
      <c r="H146" s="12">
        <f t="shared" si="9"/>
        <v>1.79290397223293</v>
      </c>
      <c r="I146" s="12">
        <f t="shared" si="9"/>
        <v>0.695361470956958</v>
      </c>
      <c r="J146" s="12">
        <f t="shared" si="9"/>
        <v>0.875101708706265</v>
      </c>
      <c r="K146" s="12">
        <f t="shared" si="9"/>
        <v>0.715703192407248</v>
      </c>
      <c r="L146" s="12">
        <f t="shared" si="9"/>
        <v>0.687571701720841</v>
      </c>
      <c r="M146" s="12">
        <f t="shared" si="9"/>
        <v>0.606796116504854</v>
      </c>
      <c r="N146" s="12">
        <f t="shared" si="9"/>
        <v>0.636432926829268</v>
      </c>
      <c r="O146" s="12">
        <f t="shared" si="9"/>
        <v>0.667820069204152</v>
      </c>
      <c r="P146" s="12">
        <f t="shared" si="9"/>
        <v>0.780512820512821</v>
      </c>
      <c r="Q146" s="12">
        <f t="shared" si="9"/>
        <v>0.557647058823529</v>
      </c>
      <c r="R146" s="12">
        <f t="shared" si="9"/>
        <v>0.559704002690885</v>
      </c>
      <c r="S146" s="12">
        <f t="shared" si="9"/>
        <v>0.575713240673007</v>
      </c>
      <c r="T146" s="12">
        <f t="shared" si="9"/>
        <v>0.615358819584172</v>
      </c>
      <c r="U146" s="12">
        <f t="shared" si="9"/>
        <v>0.592222618622904</v>
      </c>
      <c r="V146" s="12">
        <f t="shared" si="9"/>
        <v>0.669108280254777</v>
      </c>
      <c r="W146" s="12">
        <f t="shared" si="9"/>
        <v>0.638433210579176</v>
      </c>
      <c r="X146" s="12">
        <f t="shared" si="9"/>
        <v>0.656047197640118</v>
      </c>
      <c r="Y146" s="12">
        <f t="shared" si="9"/>
        <v>0.626183480248123</v>
      </c>
      <c r="Z146" s="12" t="e">
        <f t="shared" si="9"/>
        <v>#DIV/0!</v>
      </c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/>
      <c r="EQ146" s="19"/>
      <c r="ER146" s="19"/>
      <c r="ES146" s="19"/>
      <c r="ET146" s="19"/>
      <c r="EU146" s="19"/>
      <c r="EV146" s="19"/>
      <c r="EW146" s="19"/>
      <c r="EX146" s="19"/>
      <c r="EY146" s="19"/>
      <c r="EZ146" s="19"/>
      <c r="FA146" s="19"/>
      <c r="FB146" s="19"/>
      <c r="FC146" s="19"/>
      <c r="FD146" s="19"/>
      <c r="FE146" s="19"/>
      <c r="FF146" s="19"/>
      <c r="FG146" s="19"/>
      <c r="FH146" s="19"/>
      <c r="FI146" s="19"/>
      <c r="FJ146" s="19"/>
      <c r="FK146" s="19"/>
      <c r="FL146" s="19"/>
      <c r="FM146" s="19"/>
      <c r="FN146" s="19"/>
      <c r="FO146" s="19"/>
      <c r="FP146" s="19"/>
      <c r="FQ146" s="19"/>
      <c r="FR146" s="19"/>
      <c r="FS146" s="19"/>
      <c r="FT146" s="19"/>
      <c r="FU146" s="19"/>
      <c r="FV146" s="19"/>
      <c r="FW146" s="19"/>
      <c r="FX146" s="19"/>
      <c r="FY146" s="19"/>
      <c r="FZ146" s="19"/>
      <c r="GA146" s="19"/>
      <c r="GB146" s="19"/>
      <c r="GC146" s="19"/>
      <c r="GD146" s="19"/>
      <c r="GE146" s="19"/>
      <c r="GF146" s="19"/>
      <c r="GG146" s="19"/>
      <c r="GH146" s="19"/>
      <c r="GI146" s="19"/>
      <c r="GJ146" s="19"/>
      <c r="GK146" s="19"/>
      <c r="GL146" s="19"/>
      <c r="GM146" s="19"/>
      <c r="GN146" s="19"/>
      <c r="GO146" s="19"/>
      <c r="GP146" s="19"/>
      <c r="GQ146" s="19"/>
      <c r="GR146" s="19"/>
      <c r="GS146" s="19"/>
      <c r="GT146" s="19"/>
      <c r="GU146" s="19"/>
      <c r="GV146" s="19"/>
      <c r="GW146" s="19"/>
      <c r="GX146" s="19"/>
      <c r="GY146" s="19"/>
      <c r="GZ146" s="19"/>
      <c r="HA146" s="19"/>
      <c r="HB146" s="19"/>
      <c r="HC146" s="19"/>
      <c r="HD146" s="19"/>
      <c r="HE146" s="19"/>
      <c r="HF146" s="19"/>
      <c r="HG146" s="19"/>
      <c r="HH146" s="19"/>
      <c r="HI146" s="19"/>
      <c r="HJ146" s="19"/>
      <c r="HK146" s="19"/>
      <c r="HL146" s="19"/>
      <c r="HM146" s="19"/>
      <c r="HN146" s="19"/>
      <c r="HO146" s="19"/>
      <c r="HP146" s="19"/>
      <c r="HQ146" s="19"/>
      <c r="HR146" s="19"/>
      <c r="HS146" s="19"/>
      <c r="HT146" s="19"/>
      <c r="HU146" s="19"/>
      <c r="HV146" s="19"/>
      <c r="HW146" s="19"/>
      <c r="HX146" s="19"/>
      <c r="HY146" s="19"/>
      <c r="HZ146" s="19"/>
      <c r="IA146" s="19"/>
      <c r="IB146" s="19"/>
      <c r="IC146" s="19"/>
      <c r="ID146" s="19"/>
      <c r="IE146" s="19"/>
      <c r="IF146" s="19"/>
      <c r="IG146" s="19"/>
      <c r="IH146" s="19"/>
      <c r="II146" s="19"/>
      <c r="IJ146" s="19"/>
      <c r="IK146" s="19"/>
      <c r="IL146" s="19"/>
      <c r="IM146" s="19"/>
      <c r="IN146" s="19"/>
      <c r="IO146" s="19"/>
      <c r="IP146" s="19"/>
      <c r="IQ146" s="19"/>
      <c r="IR146" s="19"/>
      <c r="IS146" s="19"/>
      <c r="IT146" s="19"/>
      <c r="IU146" s="19"/>
      <c r="IV146" s="19"/>
    </row>
    <row r="147" customHeight="1" spans="1:26">
      <c r="A147" s="14" t="s">
        <v>162</v>
      </c>
      <c r="B147" s="15">
        <v>-228000000</v>
      </c>
      <c r="C147" s="16">
        <v>-95000000</v>
      </c>
      <c r="D147" s="16">
        <v>-306000000</v>
      </c>
      <c r="E147" s="16">
        <v>-153000000</v>
      </c>
      <c r="F147" s="16">
        <v>-166000000</v>
      </c>
      <c r="G147" s="16">
        <v>-151000000</v>
      </c>
      <c r="H147" s="16">
        <v>-265000000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-53000000</v>
      </c>
      <c r="U147" s="16">
        <v>-102000000</v>
      </c>
      <c r="V147" s="16">
        <v>-116000000</v>
      </c>
      <c r="W147" s="16">
        <v>149000000</v>
      </c>
      <c r="X147" s="16">
        <v>0</v>
      </c>
      <c r="Y147" s="16">
        <v>0</v>
      </c>
      <c r="Z147" s="16">
        <v>0</v>
      </c>
    </row>
    <row r="148" customHeight="1" spans="1:26">
      <c r="A148" s="14" t="s">
        <v>163</v>
      </c>
      <c r="B148" s="15">
        <v>0</v>
      </c>
      <c r="C148" s="16">
        <v>0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</row>
    <row r="149" customHeight="1" spans="1:26">
      <c r="A149" s="14" t="s">
        <v>164</v>
      </c>
      <c r="B149" s="15">
        <v>0</v>
      </c>
      <c r="C149" s="16">
        <v>0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</row>
    <row r="150" customHeight="1" spans="1:26">
      <c r="A150" s="14" t="s">
        <v>165</v>
      </c>
      <c r="B150" s="15">
        <v>0</v>
      </c>
      <c r="C150" s="16">
        <v>0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</row>
    <row r="151" customHeight="1" spans="1:26">
      <c r="A151" s="14" t="s">
        <v>166</v>
      </c>
      <c r="B151" s="15">
        <v>0</v>
      </c>
      <c r="C151" s="16">
        <v>0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</row>
    <row r="152" customHeight="1" spans="1:26">
      <c r="A152" s="14" t="s">
        <v>167</v>
      </c>
      <c r="B152" s="15">
        <v>0</v>
      </c>
      <c r="C152" s="16">
        <v>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</row>
    <row r="153" customHeight="1" spans="1:26">
      <c r="A153" s="14" t="s">
        <v>168</v>
      </c>
      <c r="B153" s="15">
        <v>0</v>
      </c>
      <c r="C153" s="16">
        <v>0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</row>
    <row r="154" customHeight="1" spans="1:26">
      <c r="A154" s="11" t="s">
        <v>169</v>
      </c>
      <c r="B154" s="12">
        <v>2396000000</v>
      </c>
      <c r="C154" s="13">
        <v>1284000000</v>
      </c>
      <c r="D154" s="13">
        <v>2167000000</v>
      </c>
      <c r="E154" s="13">
        <v>267000000</v>
      </c>
      <c r="F154" s="13">
        <v>2663000000</v>
      </c>
      <c r="G154" s="13">
        <v>2212000000</v>
      </c>
      <c r="H154" s="13">
        <v>-459000000</v>
      </c>
      <c r="I154" s="13">
        <v>3070000000</v>
      </c>
      <c r="J154" s="13">
        <v>1657000000</v>
      </c>
      <c r="K154" s="13">
        <v>1763000000</v>
      </c>
      <c r="L154" s="13">
        <v>1719000000</v>
      </c>
      <c r="M154" s="13">
        <v>2227000000</v>
      </c>
      <c r="N154" s="13">
        <v>1546000000</v>
      </c>
      <c r="O154" s="13">
        <v>1436000000</v>
      </c>
      <c r="P154" s="13">
        <v>1176000000</v>
      </c>
      <c r="Q154" s="13">
        <v>1324000000</v>
      </c>
      <c r="R154" s="13">
        <v>1241000000</v>
      </c>
      <c r="S154" s="13">
        <v>1928000000</v>
      </c>
      <c r="T154" s="13">
        <v>1384000000</v>
      </c>
      <c r="U154" s="13">
        <v>1697000000</v>
      </c>
      <c r="V154" s="13">
        <v>1446000000</v>
      </c>
      <c r="W154" s="13">
        <v>1550000000</v>
      </c>
      <c r="X154" s="13">
        <v>1772000000</v>
      </c>
      <c r="Y154" s="13">
        <v>2260000000</v>
      </c>
      <c r="Z154" s="13">
        <v>0</v>
      </c>
    </row>
    <row r="155" customHeight="1" spans="1:26">
      <c r="A155" s="14" t="s">
        <v>170</v>
      </c>
      <c r="B155" s="15">
        <v>0</v>
      </c>
      <c r="C155" s="16">
        <v>0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</row>
    <row r="156" customHeight="1" spans="1:26">
      <c r="A156" s="14" t="s">
        <v>171</v>
      </c>
      <c r="B156" s="15">
        <v>0</v>
      </c>
      <c r="C156" s="16">
        <v>0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</row>
    <row r="157" customHeight="1" spans="1:26">
      <c r="A157" s="14" t="s">
        <v>172</v>
      </c>
      <c r="B157" s="15">
        <v>0</v>
      </c>
      <c r="C157" s="16">
        <v>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</row>
    <row r="158" customHeight="1" spans="1:26">
      <c r="A158" s="14" t="s">
        <v>173</v>
      </c>
      <c r="B158" s="15">
        <v>-116000000</v>
      </c>
      <c r="C158" s="16">
        <v>246000000</v>
      </c>
      <c r="D158" s="16">
        <v>-98000000</v>
      </c>
      <c r="E158" s="16">
        <v>122000000</v>
      </c>
      <c r="F158" s="16">
        <v>-31000000</v>
      </c>
      <c r="G158" s="16">
        <v>-27000000</v>
      </c>
      <c r="H158" s="16">
        <v>-717000000</v>
      </c>
      <c r="I158" s="16">
        <v>-13000000</v>
      </c>
      <c r="J158" s="16">
        <v>18000000</v>
      </c>
      <c r="K158" s="16">
        <v>33000000</v>
      </c>
      <c r="L158" s="16">
        <v>-734000000</v>
      </c>
      <c r="M158" s="16">
        <v>335000000</v>
      </c>
      <c r="N158" s="16">
        <v>-565000000</v>
      </c>
      <c r="O158" s="16">
        <v>109000000</v>
      </c>
      <c r="P158" s="16">
        <v>10800000000</v>
      </c>
      <c r="Q158" s="16">
        <v>357000000</v>
      </c>
      <c r="R158" s="16">
        <v>838000000</v>
      </c>
      <c r="S158" s="16">
        <v>351000000</v>
      </c>
      <c r="T158" s="16">
        <v>42000000</v>
      </c>
      <c r="U158" s="16">
        <v>43000000</v>
      </c>
      <c r="V158" s="16">
        <v>0</v>
      </c>
      <c r="W158" s="16">
        <v>0</v>
      </c>
      <c r="X158" s="16">
        <v>-248000000</v>
      </c>
      <c r="Y158" s="16">
        <v>136000000</v>
      </c>
      <c r="Z158" s="16">
        <v>0</v>
      </c>
    </row>
    <row r="159" customHeight="1" spans="1:26">
      <c r="A159" s="14" t="s">
        <v>174</v>
      </c>
      <c r="B159" s="15">
        <v>0</v>
      </c>
      <c r="C159" s="16">
        <v>0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</row>
    <row r="160" customHeight="1" spans="1:26">
      <c r="A160" s="14" t="s">
        <v>175</v>
      </c>
      <c r="B160" s="15">
        <v>0</v>
      </c>
      <c r="C160" s="16">
        <v>0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</row>
    <row r="161" customHeight="1" spans="1:26">
      <c r="A161" s="14" t="s">
        <v>176</v>
      </c>
      <c r="B161" s="15">
        <v>2086000000</v>
      </c>
      <c r="C161" s="16">
        <v>1345000000</v>
      </c>
      <c r="D161" s="16">
        <v>1879000000</v>
      </c>
      <c r="E161" s="16">
        <v>200000000</v>
      </c>
      <c r="F161" s="16">
        <v>2439000000</v>
      </c>
      <c r="G161" s="16">
        <v>2003000000</v>
      </c>
      <c r="H161" s="16">
        <v>-1356000000</v>
      </c>
      <c r="I161" s="16">
        <v>2887000000</v>
      </c>
      <c r="J161" s="16">
        <v>1504000000</v>
      </c>
      <c r="K161" s="16">
        <v>1624000000</v>
      </c>
      <c r="L161" s="16">
        <v>816000000</v>
      </c>
      <c r="M161" s="16">
        <v>2397000000</v>
      </c>
      <c r="N161" s="16">
        <v>807000000</v>
      </c>
      <c r="O161" s="16">
        <v>1381000000</v>
      </c>
      <c r="P161" s="16">
        <v>11811000000</v>
      </c>
      <c r="Q161" s="16">
        <v>1490000000</v>
      </c>
      <c r="R161" s="16">
        <v>1891000000</v>
      </c>
      <c r="S161" s="16">
        <v>2091000000</v>
      </c>
      <c r="T161" s="16">
        <v>1225000000</v>
      </c>
      <c r="U161" s="16">
        <v>1525000000</v>
      </c>
      <c r="V161" s="16">
        <v>1245000000</v>
      </c>
      <c r="W161" s="16">
        <v>1550000000</v>
      </c>
      <c r="X161" s="16">
        <v>1334000000</v>
      </c>
      <c r="Y161" s="16">
        <v>2218000000</v>
      </c>
      <c r="Z161" s="16">
        <v>0</v>
      </c>
    </row>
    <row r="162" customHeight="1" spans="1:26">
      <c r="A162" s="14" t="s">
        <v>177</v>
      </c>
      <c r="B162" s="15">
        <v>0</v>
      </c>
      <c r="C162" s="16">
        <v>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</row>
    <row r="163" customHeight="1" spans="1:26">
      <c r="A163" s="14" t="s">
        <v>178</v>
      </c>
      <c r="B163" s="15">
        <v>0</v>
      </c>
      <c r="C163" s="16">
        <v>0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</row>
    <row r="164" customHeight="1" spans="1:26">
      <c r="A164" s="14" t="s">
        <v>179</v>
      </c>
      <c r="B164" s="15">
        <v>370000000</v>
      </c>
      <c r="C164" s="16">
        <v>604000000</v>
      </c>
      <c r="D164" s="16">
        <v>2917000000</v>
      </c>
      <c r="E164" s="16">
        <v>251000000</v>
      </c>
      <c r="F164" s="16">
        <v>488000000</v>
      </c>
      <c r="G164" s="16">
        <v>447000000</v>
      </c>
      <c r="H164" s="16">
        <v>-769000000</v>
      </c>
      <c r="I164" s="16">
        <v>699000000</v>
      </c>
      <c r="J164" s="16">
        <v>295000000</v>
      </c>
      <c r="K164" s="16">
        <v>494000000</v>
      </c>
      <c r="L164" s="16">
        <v>-166000000</v>
      </c>
      <c r="M164" s="16">
        <v>566000000</v>
      </c>
      <c r="N164" s="16">
        <v>119000000</v>
      </c>
      <c r="O164" s="16">
        <v>423000000</v>
      </c>
      <c r="P164" s="16">
        <v>4484000000</v>
      </c>
      <c r="Q164" s="16">
        <v>648000000</v>
      </c>
      <c r="R164" s="16">
        <v>-142000000</v>
      </c>
      <c r="S164" s="16">
        <v>360000000</v>
      </c>
      <c r="T164" s="16">
        <v>410000000</v>
      </c>
      <c r="U164" s="16">
        <v>375000000</v>
      </c>
      <c r="V164" s="16">
        <v>310000000</v>
      </c>
      <c r="W164" s="16">
        <v>-66000000</v>
      </c>
      <c r="X164" s="16">
        <v>385000000</v>
      </c>
      <c r="Y164" s="16">
        <v>455000000</v>
      </c>
      <c r="Z164" s="16">
        <v>0</v>
      </c>
    </row>
    <row r="165" customHeight="1" spans="1:26">
      <c r="A165" s="14" t="s">
        <v>180</v>
      </c>
      <c r="B165" s="15">
        <v>1716000000</v>
      </c>
      <c r="C165" s="16">
        <v>741000000</v>
      </c>
      <c r="D165" s="16">
        <v>-1038000000</v>
      </c>
      <c r="E165" s="16">
        <v>-51000000</v>
      </c>
      <c r="F165" s="16">
        <v>1951000000</v>
      </c>
      <c r="G165" s="16">
        <v>1556000000</v>
      </c>
      <c r="H165" s="16">
        <v>-587000000</v>
      </c>
      <c r="I165" s="16">
        <v>2188000000</v>
      </c>
      <c r="J165" s="16">
        <v>1209000000</v>
      </c>
      <c r="K165" s="16">
        <v>1130000000</v>
      </c>
      <c r="L165" s="16">
        <v>982000000</v>
      </c>
      <c r="M165" s="16">
        <v>1831000000</v>
      </c>
      <c r="N165" s="16">
        <v>688000000</v>
      </c>
      <c r="O165" s="16">
        <v>958000000</v>
      </c>
      <c r="P165" s="16">
        <v>7327000000</v>
      </c>
      <c r="Q165" s="16">
        <v>842000000</v>
      </c>
      <c r="R165" s="16">
        <v>2033000000</v>
      </c>
      <c r="S165" s="16">
        <v>1731000000</v>
      </c>
      <c r="T165" s="16">
        <v>815000000</v>
      </c>
      <c r="U165" s="16">
        <v>1150000000</v>
      </c>
      <c r="V165" s="16">
        <v>935000000</v>
      </c>
      <c r="W165" s="16">
        <v>1616000000</v>
      </c>
      <c r="X165" s="16">
        <v>949000000</v>
      </c>
      <c r="Y165" s="16">
        <v>1763000000</v>
      </c>
      <c r="Z165" s="16">
        <v>0</v>
      </c>
    </row>
    <row r="166" customHeight="1" spans="1:26">
      <c r="A166" s="14" t="s">
        <v>181</v>
      </c>
      <c r="B166" s="15">
        <v>0</v>
      </c>
      <c r="C166" s="16">
        <v>0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</row>
    <row r="167" customHeight="1" spans="1:26">
      <c r="A167" s="11" t="s">
        <v>97</v>
      </c>
      <c r="B167" s="12">
        <v>1707000000</v>
      </c>
      <c r="C167" s="13">
        <v>736000000</v>
      </c>
      <c r="D167" s="13">
        <v>-1046000000</v>
      </c>
      <c r="E167" s="13">
        <v>-56000000</v>
      </c>
      <c r="F167" s="13">
        <v>1946000000</v>
      </c>
      <c r="G167" s="13">
        <v>1551000000</v>
      </c>
      <c r="H167" s="13">
        <v>-595000000</v>
      </c>
      <c r="I167" s="13">
        <v>2184000000</v>
      </c>
      <c r="J167" s="13">
        <v>1205000000</v>
      </c>
      <c r="K167" s="13">
        <v>1125000000</v>
      </c>
      <c r="L167" s="13">
        <v>977000000</v>
      </c>
      <c r="M167" s="13">
        <v>1826000000</v>
      </c>
      <c r="N167" s="13">
        <v>687000000</v>
      </c>
      <c r="O167" s="13">
        <v>953000000</v>
      </c>
      <c r="P167" s="13">
        <v>7316000000</v>
      </c>
      <c r="Q167" s="13">
        <v>895000000</v>
      </c>
      <c r="R167" s="13">
        <v>2004000000</v>
      </c>
      <c r="S167" s="13">
        <v>1705000000</v>
      </c>
      <c r="T167" s="13">
        <v>781000000</v>
      </c>
      <c r="U167" s="13">
        <v>1124000000</v>
      </c>
      <c r="V167" s="13">
        <v>906000000</v>
      </c>
      <c r="W167" s="13">
        <v>1593000000</v>
      </c>
      <c r="X167" s="13">
        <v>907000000</v>
      </c>
      <c r="Y167" s="13">
        <v>1729000000</v>
      </c>
      <c r="Z167" s="13">
        <v>1793000000</v>
      </c>
    </row>
    <row r="168" customHeight="1" spans="1:26">
      <c r="A168" s="11" t="s">
        <v>182</v>
      </c>
      <c r="B168" s="12">
        <v>1707000000</v>
      </c>
      <c r="C168" s="13">
        <v>736000000</v>
      </c>
      <c r="D168" s="13">
        <v>-1046000000</v>
      </c>
      <c r="E168" s="13">
        <v>-56000000</v>
      </c>
      <c r="F168" s="13">
        <v>1946000000</v>
      </c>
      <c r="G168" s="13">
        <v>1551000000</v>
      </c>
      <c r="H168" s="13">
        <v>-595000000</v>
      </c>
      <c r="I168" s="13">
        <v>2184000000</v>
      </c>
      <c r="J168" s="13">
        <v>1205000000</v>
      </c>
      <c r="K168" s="13">
        <v>1125000000</v>
      </c>
      <c r="L168" s="13">
        <v>977000000</v>
      </c>
      <c r="M168" s="13">
        <v>1826000000</v>
      </c>
      <c r="N168" s="13">
        <v>687000000</v>
      </c>
      <c r="O168" s="13">
        <v>953000000</v>
      </c>
      <c r="P168" s="13">
        <v>7316000000</v>
      </c>
      <c r="Q168" s="13">
        <v>895000000</v>
      </c>
      <c r="R168" s="13">
        <v>2004000000</v>
      </c>
      <c r="S168" s="13">
        <v>1705000000</v>
      </c>
      <c r="T168" s="13">
        <v>781000000</v>
      </c>
      <c r="U168" s="13">
        <v>1124000000</v>
      </c>
      <c r="V168" s="13">
        <v>906000000</v>
      </c>
      <c r="W168" s="13">
        <v>1593000000</v>
      </c>
      <c r="X168" s="13">
        <v>907000000</v>
      </c>
      <c r="Y168" s="13">
        <v>1729000000</v>
      </c>
      <c r="Z168" s="13">
        <v>0</v>
      </c>
    </row>
    <row r="169" customHeight="1" spans="1:26">
      <c r="A169" s="11" t="s">
        <v>183</v>
      </c>
      <c r="B169" s="12">
        <v>0.64</v>
      </c>
      <c r="C169" s="13">
        <v>0.27</v>
      </c>
      <c r="D169" s="13">
        <v>-0.38</v>
      </c>
      <c r="E169" s="13">
        <v>-0.02</v>
      </c>
      <c r="F169" s="13">
        <v>0.71</v>
      </c>
      <c r="G169" s="13">
        <v>0.56</v>
      </c>
      <c r="H169" s="13">
        <v>-0.21</v>
      </c>
      <c r="I169" s="13">
        <v>0.79</v>
      </c>
      <c r="J169" s="13">
        <v>0.44</v>
      </c>
      <c r="K169" s="13">
        <v>0.41</v>
      </c>
      <c r="L169" s="13">
        <v>0.35</v>
      </c>
      <c r="M169" s="13">
        <v>0.65</v>
      </c>
      <c r="N169" s="13">
        <v>0.24</v>
      </c>
      <c r="O169" s="13">
        <v>0.34</v>
      </c>
      <c r="P169" s="13">
        <v>2.57</v>
      </c>
      <c r="Q169" s="13">
        <v>0.31</v>
      </c>
      <c r="R169" s="13">
        <v>0.69</v>
      </c>
      <c r="S169" s="13">
        <v>0.58</v>
      </c>
      <c r="T169" s="13">
        <v>0.27</v>
      </c>
      <c r="U169" s="13">
        <v>0.38</v>
      </c>
      <c r="V169" s="13">
        <v>0.3</v>
      </c>
      <c r="W169" s="13">
        <v>0.53</v>
      </c>
      <c r="X169" s="13">
        <v>0.3</v>
      </c>
      <c r="Y169" s="13">
        <v>0.57</v>
      </c>
      <c r="Z169" s="13">
        <v>0</v>
      </c>
    </row>
    <row r="170" customHeight="1" spans="1:26">
      <c r="A170" s="11" t="s">
        <v>184</v>
      </c>
      <c r="B170" s="12">
        <v>0.63</v>
      </c>
      <c r="C170" s="13">
        <v>0.27</v>
      </c>
      <c r="D170" s="13">
        <v>-0.38</v>
      </c>
      <c r="E170" s="13">
        <v>-0.02</v>
      </c>
      <c r="F170" s="13">
        <v>0.71</v>
      </c>
      <c r="G170" s="13">
        <v>0.56</v>
      </c>
      <c r="H170" s="13">
        <v>-0.21</v>
      </c>
      <c r="I170" s="13">
        <v>0.78</v>
      </c>
      <c r="J170" s="13">
        <v>0.43</v>
      </c>
      <c r="K170" s="13">
        <v>0.4</v>
      </c>
      <c r="L170" s="13">
        <v>0.34</v>
      </c>
      <c r="M170" s="13">
        <v>0.64</v>
      </c>
      <c r="N170" s="13">
        <v>0.24</v>
      </c>
      <c r="O170" s="13">
        <v>0.33</v>
      </c>
      <c r="P170" s="13">
        <v>2.53</v>
      </c>
      <c r="Q170" s="13">
        <v>0.31</v>
      </c>
      <c r="R170" s="13">
        <v>0.68</v>
      </c>
      <c r="S170" s="13">
        <v>0.57</v>
      </c>
      <c r="T170" s="13">
        <v>0.26</v>
      </c>
      <c r="U170" s="13">
        <v>0.38</v>
      </c>
      <c r="V170" s="13">
        <v>0.3</v>
      </c>
      <c r="W170" s="13">
        <v>0.52</v>
      </c>
      <c r="X170" s="13">
        <v>0.3</v>
      </c>
      <c r="Y170" s="13">
        <v>0.56</v>
      </c>
      <c r="Z170" s="13">
        <v>0.58</v>
      </c>
    </row>
    <row r="171" customHeight="1" spans="1:26">
      <c r="A171" s="14" t="s">
        <v>185</v>
      </c>
      <c r="B171" s="15">
        <v>2683000000</v>
      </c>
      <c r="C171" s="16">
        <v>2695000000</v>
      </c>
      <c r="D171" s="16">
        <v>2715000000</v>
      </c>
      <c r="E171" s="16">
        <v>2727000000</v>
      </c>
      <c r="F171" s="16">
        <v>2734000000</v>
      </c>
      <c r="G171" s="16">
        <v>2745000000</v>
      </c>
      <c r="H171" s="16">
        <v>2757000000</v>
      </c>
      <c r="I171" s="16">
        <v>2765000000</v>
      </c>
      <c r="J171" s="16">
        <v>2768000000</v>
      </c>
      <c r="K171" s="16">
        <v>2774000000</v>
      </c>
      <c r="L171" s="16">
        <v>2789000000</v>
      </c>
      <c r="M171" s="16">
        <v>2814000000</v>
      </c>
      <c r="N171" s="16">
        <v>2826000000</v>
      </c>
      <c r="O171" s="16">
        <v>2835000000</v>
      </c>
      <c r="P171" s="16">
        <v>2849000000</v>
      </c>
      <c r="Q171" s="16">
        <v>2879000000</v>
      </c>
      <c r="R171" s="16">
        <v>2917000000</v>
      </c>
      <c r="S171" s="16">
        <v>2934000000</v>
      </c>
      <c r="T171" s="16">
        <v>2927000000</v>
      </c>
      <c r="U171" s="16">
        <v>2927000000</v>
      </c>
      <c r="V171" s="16">
        <v>2977000000</v>
      </c>
      <c r="W171" s="16">
        <v>3022000000</v>
      </c>
      <c r="X171" s="16">
        <v>3035000000</v>
      </c>
      <c r="Y171" s="16">
        <v>3045000000</v>
      </c>
      <c r="Z171" s="16">
        <v>0</v>
      </c>
    </row>
    <row r="172" customHeight="1" spans="1:26">
      <c r="A172" s="14" t="s">
        <v>186</v>
      </c>
      <c r="B172" s="15">
        <v>2696000000</v>
      </c>
      <c r="C172" s="16">
        <v>2710000000</v>
      </c>
      <c r="D172" s="16">
        <v>2730000000</v>
      </c>
      <c r="E172" s="16">
        <v>2727000000</v>
      </c>
      <c r="F172" s="16">
        <v>2752000000</v>
      </c>
      <c r="G172" s="16">
        <v>2766000000</v>
      </c>
      <c r="H172" s="16">
        <v>2775000000</v>
      </c>
      <c r="I172" s="16">
        <v>2786000000</v>
      </c>
      <c r="J172" s="16">
        <v>2789000000</v>
      </c>
      <c r="K172" s="16">
        <v>2795000000</v>
      </c>
      <c r="L172" s="16">
        <v>2814000000</v>
      </c>
      <c r="M172" s="16">
        <v>2836000000</v>
      </c>
      <c r="N172" s="16">
        <v>2850000000</v>
      </c>
      <c r="O172" s="16">
        <v>2865000000</v>
      </c>
      <c r="P172" s="16">
        <v>2886000000</v>
      </c>
      <c r="Q172" s="16">
        <v>2911000000</v>
      </c>
      <c r="R172" s="16">
        <v>2949000000</v>
      </c>
      <c r="S172" s="16">
        <v>2971000000</v>
      </c>
      <c r="T172" s="16">
        <v>2963000000</v>
      </c>
      <c r="U172" s="16">
        <v>2960000000</v>
      </c>
      <c r="V172" s="16">
        <v>3010000000</v>
      </c>
      <c r="W172" s="16">
        <v>3053000000</v>
      </c>
      <c r="X172" s="16">
        <v>3073000000</v>
      </c>
      <c r="Y172" s="16">
        <v>3079000000</v>
      </c>
      <c r="Z172" s="16">
        <v>0</v>
      </c>
    </row>
    <row r="173" customHeight="1" spans="1:26">
      <c r="A173" s="14" t="s">
        <v>187</v>
      </c>
      <c r="B173" s="15">
        <v>3506000000</v>
      </c>
      <c r="C173" s="16">
        <v>2667000000</v>
      </c>
      <c r="D173" s="16">
        <v>3197000000</v>
      </c>
      <c r="E173" s="16">
        <v>1543000000</v>
      </c>
      <c r="F173" s="16">
        <v>3794000000</v>
      </c>
      <c r="G173" s="16">
        <v>3378000000</v>
      </c>
      <c r="H173" s="16">
        <v>-21000000</v>
      </c>
      <c r="I173" s="16">
        <v>4232000000</v>
      </c>
      <c r="J173" s="16">
        <v>3225000000</v>
      </c>
      <c r="K173" s="16">
        <v>3357000000</v>
      </c>
      <c r="L173" s="16">
        <v>2545000000</v>
      </c>
      <c r="M173" s="16">
        <v>4132000000</v>
      </c>
      <c r="N173" s="16">
        <v>2589000000</v>
      </c>
      <c r="O173" s="16">
        <v>3182000000</v>
      </c>
      <c r="P173" s="16">
        <v>13549000000</v>
      </c>
      <c r="Q173" s="16">
        <v>3292000000</v>
      </c>
      <c r="R173" s="16">
        <v>3832000000</v>
      </c>
      <c r="S173" s="16">
        <v>4033000000</v>
      </c>
      <c r="T173" s="16">
        <v>3380000000</v>
      </c>
      <c r="U173" s="16">
        <v>3445000000</v>
      </c>
      <c r="V173" s="16">
        <v>3101000000</v>
      </c>
      <c r="W173" s="16">
        <v>3224000000</v>
      </c>
      <c r="X173" s="16">
        <v>3185000000</v>
      </c>
      <c r="Y173" s="16">
        <v>2260000000</v>
      </c>
      <c r="Z173" s="16">
        <v>0</v>
      </c>
    </row>
  </sheetData>
  <mergeCells count="1">
    <mergeCell ref="A1:Z1"/>
  </mergeCells>
  <pageMargins left="1" right="1" top="1" bottom="1" header="0.25" footer="0.25"/>
  <pageSetup paperSize="1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G3:O120"/>
  <sheetViews>
    <sheetView topLeftCell="A37" workbookViewId="0">
      <selection activeCell="G121" sqref="G121"/>
    </sheetView>
  </sheetViews>
  <sheetFormatPr defaultColWidth="9" defaultRowHeight="14"/>
  <cols>
    <col min="1" max="16384" width="10.8333333333333" style="1"/>
  </cols>
  <sheetData>
    <row r="3" spans="7:15">
      <c r="G3" s="2" t="s">
        <v>188</v>
      </c>
      <c r="O3" s="2" t="s">
        <v>189</v>
      </c>
    </row>
    <row r="25" spans="13:13">
      <c r="M25" s="2" t="s">
        <v>190</v>
      </c>
    </row>
    <row r="47" spans="8:8">
      <c r="H47" s="2" t="s">
        <v>191</v>
      </c>
    </row>
    <row r="88" spans="14:14">
      <c r="N88" s="2" t="s">
        <v>192</v>
      </c>
    </row>
    <row r="95" spans="14:14">
      <c r="N95" s="2" t="s">
        <v>193</v>
      </c>
    </row>
    <row r="118" spans="14:14">
      <c r="N118" s="2" t="s">
        <v>194</v>
      </c>
    </row>
    <row r="119" spans="14:14">
      <c r="N119" s="2" t="s">
        <v>195</v>
      </c>
    </row>
    <row r="120" spans="14:14">
      <c r="N120" s="2" t="s">
        <v>196</v>
      </c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MRK</vt:lpstr>
      <vt:lpstr>分析结果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瑜 陈</cp:lastModifiedBy>
  <dcterms:created xsi:type="dcterms:W3CDTF">2018-09-17T10:26:18Z</dcterms:created>
  <dcterms:modified xsi:type="dcterms:W3CDTF">2018-09-17T11:03:34Z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2052-1.2.3.321</vt:lpwstr>
  </property>
</Properties>
</file>