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8000" windowHeight="13420"/>
  </bookViews>
  <sheets>
    <sheet name="DATA" sheetId="2" r:id="rId1"/>
  </sheets>
  <calcPr calcId="144525" concurrentCalc="0"/>
</workbook>
</file>

<file path=xl/sharedStrings.xml><?xml version="1.0" encoding="utf-8"?>
<sst xmlns="http://schemas.openxmlformats.org/spreadsheetml/2006/main" count="178">
  <si>
    <t>WB</t>
  </si>
  <si>
    <t>资产负债表</t>
  </si>
  <si>
    <t>日期</t>
  </si>
  <si>
    <t>2018-06</t>
  </si>
  <si>
    <t>2018-03</t>
  </si>
  <si>
    <t>2017-12</t>
  </si>
  <si>
    <t>2017-09</t>
  </si>
  <si>
    <t>2017-06</t>
  </si>
  <si>
    <t>2017-03</t>
  </si>
  <si>
    <t>2016-12</t>
  </si>
  <si>
    <t>2016-09</t>
  </si>
  <si>
    <t>2016-06</t>
  </si>
  <si>
    <t>2016-03</t>
  </si>
  <si>
    <t>2015-12</t>
  </si>
  <si>
    <t>2015-09</t>
  </si>
  <si>
    <t>2015-06</t>
  </si>
  <si>
    <t>2015-03</t>
  </si>
  <si>
    <t>2014-12</t>
  </si>
  <si>
    <t>2014-09</t>
  </si>
  <si>
    <t>2014-06</t>
  </si>
  <si>
    <t>2014-03</t>
  </si>
  <si>
    <t>2013-12</t>
  </si>
  <si>
    <t>2013-09</t>
  </si>
  <si>
    <t>2013-06</t>
  </si>
  <si>
    <t>2013-03</t>
  </si>
  <si>
    <t>2012-12</t>
  </si>
  <si>
    <t>2012-09</t>
  </si>
  <si>
    <t>2012-06</t>
  </si>
  <si>
    <t>资产总额</t>
  </si>
  <si>
    <t>流动资产总额</t>
  </si>
  <si>
    <t>现金总额</t>
  </si>
  <si>
    <t>现金及到期存款</t>
  </si>
  <si>
    <t>现金及现金等价物</t>
  </si>
  <si>
    <t>联邦基金卖出所得</t>
  </si>
  <si>
    <t>短期投资</t>
  </si>
  <si>
    <t>衍生资产</t>
  </si>
  <si>
    <t>债务证券</t>
  </si>
  <si>
    <t>应收账款</t>
  </si>
  <si>
    <t>预付费用</t>
  </si>
  <si>
    <t>证券及投资</t>
  </si>
  <si>
    <t>借入证券</t>
  </si>
  <si>
    <t>投资</t>
  </si>
  <si>
    <t>贷款</t>
  </si>
  <si>
    <t>贷款净额</t>
  </si>
  <si>
    <t>备付贷款损失</t>
  </si>
  <si>
    <t>存货</t>
  </si>
  <si>
    <t>递延税</t>
  </si>
  <si>
    <t>其他流动资产</t>
  </si>
  <si>
    <t>长期资产总额</t>
  </si>
  <si>
    <t>固定资产总额</t>
  </si>
  <si>
    <t>固定资产</t>
  </si>
  <si>
    <t>厂房设施与设备</t>
  </si>
  <si>
    <t>机器设备</t>
  </si>
  <si>
    <t>长期资产</t>
  </si>
  <si>
    <t>累积折旧</t>
  </si>
  <si>
    <t>股票及其他投资</t>
  </si>
  <si>
    <t>商誉价值</t>
  </si>
  <si>
    <t>无形资产</t>
  </si>
  <si>
    <t>其他无形资产</t>
  </si>
  <si>
    <t>其他长期资产</t>
  </si>
  <si>
    <t>其他资产</t>
  </si>
  <si>
    <t>负债和股东权益总计</t>
  </si>
  <si>
    <t>负债总额</t>
  </si>
  <si>
    <t>流动负债总额</t>
  </si>
  <si>
    <t>应付款项及应计费用</t>
  </si>
  <si>
    <t>应付账款</t>
  </si>
  <si>
    <t>应付税款</t>
  </si>
  <si>
    <t>应计债务</t>
  </si>
  <si>
    <t>存款额</t>
  </si>
  <si>
    <t>联邦基金费用</t>
  </si>
  <si>
    <t>衍生负债</t>
  </si>
  <si>
    <t>应付款项</t>
  </si>
  <si>
    <t>交易负债</t>
  </si>
  <si>
    <t>短期借债</t>
  </si>
  <si>
    <t>短期借贷</t>
  </si>
  <si>
    <t>预提支出及负债</t>
  </si>
  <si>
    <t>租赁资本</t>
  </si>
  <si>
    <t>其他流动负债</t>
  </si>
  <si>
    <t>长期负债总额</t>
  </si>
  <si>
    <t>长期负债</t>
  </si>
  <si>
    <t>递延税金</t>
  </si>
  <si>
    <t>少数股东权益</t>
  </si>
  <si>
    <t>递延所得税负债</t>
  </si>
  <si>
    <t>递延收入</t>
  </si>
  <si>
    <t>其他长期负债</t>
  </si>
  <si>
    <t>其他负债</t>
  </si>
  <si>
    <t>股东权益总计</t>
  </si>
  <si>
    <t>资本公积</t>
  </si>
  <si>
    <t>优先股</t>
  </si>
  <si>
    <t>普通股</t>
  </si>
  <si>
    <t>留存收益</t>
  </si>
  <si>
    <t>库存股份</t>
  </si>
  <si>
    <t>累积其他综合收益</t>
  </si>
  <si>
    <t>现金流量表</t>
  </si>
  <si>
    <t>经营活动带来的净现金流</t>
  </si>
  <si>
    <t>净利润</t>
  </si>
  <si>
    <t>信用损失计提</t>
  </si>
  <si>
    <t>折旧与摊销</t>
  </si>
  <si>
    <t>递延所得税费用(收益)</t>
  </si>
  <si>
    <t>投资损失（收益）</t>
  </si>
  <si>
    <t>投资/资产减损支出</t>
  </si>
  <si>
    <t>债务和发行成本摊销</t>
  </si>
  <si>
    <t>业务处置利得（损失）</t>
  </si>
  <si>
    <t>股权补偿</t>
  </si>
  <si>
    <t>应付所得税</t>
  </si>
  <si>
    <t>其他营运资金</t>
  </si>
  <si>
    <t>其他非现金项目</t>
  </si>
  <si>
    <t>其他资产与负债</t>
  </si>
  <si>
    <t>其他经营活动</t>
  </si>
  <si>
    <t>投资活动带来的净现金流</t>
  </si>
  <si>
    <t>固定资产投资</t>
  </si>
  <si>
    <t>收购</t>
  </si>
  <si>
    <t>并购和处置</t>
  </si>
  <si>
    <t>财产和设备</t>
  </si>
  <si>
    <t>购买投资资产</t>
  </si>
  <si>
    <t>债务/销售投资</t>
  </si>
  <si>
    <t>购买无形资产</t>
  </si>
  <si>
    <t>其他投资活动</t>
  </si>
  <si>
    <t>融资活动带来的净现金流</t>
  </si>
  <si>
    <t>融资活动带来的现金流</t>
  </si>
  <si>
    <t>长期债券发行</t>
  </si>
  <si>
    <t>长期债券偿还</t>
  </si>
  <si>
    <t>债券发行</t>
  </si>
  <si>
    <t>债券偿还</t>
  </si>
  <si>
    <t>普通股发行</t>
  </si>
  <si>
    <t>普通股回购</t>
  </si>
  <si>
    <t>库存股回购</t>
  </si>
  <si>
    <t>短期借款变化</t>
  </si>
  <si>
    <t>股息支付</t>
  </si>
  <si>
    <t>其他金融活动</t>
  </si>
  <si>
    <t>汇率变动的影响</t>
  </si>
  <si>
    <t>净现金变化</t>
  </si>
  <si>
    <t>营运现金流量</t>
  </si>
  <si>
    <t>资本支出</t>
  </si>
  <si>
    <t>自由现金流</t>
  </si>
  <si>
    <t>期初现金流</t>
  </si>
  <si>
    <t>期末现金流</t>
  </si>
  <si>
    <t>利润表</t>
  </si>
  <si>
    <t>总收入</t>
  </si>
  <si>
    <t>毛利</t>
  </si>
  <si>
    <t>成本</t>
  </si>
  <si>
    <t>利息支出</t>
  </si>
  <si>
    <t>其他利息收入</t>
  </si>
  <si>
    <t>佣金及费用支出</t>
  </si>
  <si>
    <t>证券投资收益（亏损）</t>
  </si>
  <si>
    <t>保险收益（费用）</t>
  </si>
  <si>
    <t>其他收益</t>
  </si>
  <si>
    <t>收入，净利息费用</t>
  </si>
  <si>
    <t>净利息收入</t>
  </si>
  <si>
    <t>营业成本总额</t>
  </si>
  <si>
    <t>开发费用</t>
  </si>
  <si>
    <t>销售、管理及行政费用</t>
  </si>
  <si>
    <t>其他营业费用</t>
  </si>
  <si>
    <t>薪酬福利支出</t>
  </si>
  <si>
    <t>折旧及摊销</t>
  </si>
  <si>
    <t>一次性费用</t>
  </si>
  <si>
    <t>电信及设备费用</t>
  </si>
  <si>
    <t>资产摊销费用</t>
  </si>
  <si>
    <t>其他特殊费用</t>
  </si>
  <si>
    <t>营业收入</t>
  </si>
  <si>
    <t>营业外收入</t>
  </si>
  <si>
    <t>税前可持续业务收益（亏损）</t>
  </si>
  <si>
    <t>备付税</t>
  </si>
  <si>
    <t>其他收入（支出）</t>
  </si>
  <si>
    <t>非持续经营收益</t>
  </si>
  <si>
    <t>营业外收入总额</t>
  </si>
  <si>
    <t>税前利润</t>
  </si>
  <si>
    <t>所得税前利润</t>
  </si>
  <si>
    <t>所得税</t>
  </si>
  <si>
    <t>所得税费用</t>
  </si>
  <si>
    <t>持续经营收益</t>
  </si>
  <si>
    <t>优先股利</t>
  </si>
  <si>
    <t>归属于股东的净利润</t>
  </si>
  <si>
    <t>基本每股收益</t>
  </si>
  <si>
    <t>摊薄每股收益</t>
  </si>
  <si>
    <t>基本加权平均股数</t>
  </si>
  <si>
    <t>摊薄加权平均股数</t>
  </si>
  <si>
    <t>息税折旧摊销前利润</t>
  </si>
</sst>
</file>

<file path=xl/styles.xml><?xml version="1.0" encoding="utf-8"?>
<styleSheet xmlns="http://schemas.openxmlformats.org/spreadsheetml/2006/main">
  <numFmts count="9">
    <numFmt numFmtId="176" formatCode="0.0E+00"/>
    <numFmt numFmtId="177" formatCode="0E+00"/>
    <numFmt numFmtId="178" formatCode="0.0000E+00"/>
    <numFmt numFmtId="179" formatCode="0.000E+00"/>
    <numFmt numFmtId="180" formatCode="0.00000E+00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0"/>
      <color indexed="8"/>
      <name val="Helvetica Neue"/>
      <charset val="134"/>
    </font>
    <font>
      <sz val="12"/>
      <color indexed="8"/>
      <name val="Helvetica Neue"/>
      <charset val="134"/>
    </font>
    <font>
      <b/>
      <sz val="18"/>
      <color indexed="8"/>
      <name val="Helvetica Neue"/>
      <charset val="134"/>
    </font>
    <font>
      <b/>
      <sz val="10"/>
      <color indexed="8"/>
      <name val="Helvetica Neue"/>
      <charset val="134"/>
    </font>
    <font>
      <sz val="11"/>
      <color rgb="FFFA7D00"/>
      <name val="Helvetica Neue"/>
      <charset val="0"/>
      <scheme val="minor"/>
    </font>
    <font>
      <sz val="12"/>
      <color theme="1"/>
      <name val="Helvetica Neue"/>
      <charset val="134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rgb="FF3F3F76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u/>
      <sz val="11"/>
      <color rgb="FF0000FF"/>
      <name val="Helvetica Neue"/>
      <charset val="0"/>
      <scheme val="minor"/>
    </font>
    <font>
      <b/>
      <sz val="11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sz val="11"/>
      <color rgb="FF9C65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b/>
      <sz val="13"/>
      <color theme="3"/>
      <name val="Helvetica Neue"/>
      <charset val="134"/>
      <scheme val="minor"/>
    </font>
    <font>
      <b/>
      <sz val="11"/>
      <color rgb="FF3F3F3F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0" fontId="6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8" borderId="9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9" borderId="9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1" fillId="29" borderId="14" applyNumberFormat="0" applyAlignment="0" applyProtection="0">
      <alignment vertical="center"/>
    </xf>
    <xf numFmtId="0" fontId="23" fillId="9" borderId="15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12" borderId="10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</cellStyleXfs>
  <cellXfs count="2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vertical="top"/>
    </xf>
    <xf numFmtId="4" fontId="3" fillId="0" borderId="1" xfId="0" applyNumberFormat="1" applyFont="1" applyBorder="1" applyAlignment="1">
      <alignment vertical="top"/>
    </xf>
    <xf numFmtId="49" fontId="3" fillId="3" borderId="2" xfId="0" applyNumberFormat="1" applyFont="1" applyFill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3" fillId="3" borderId="5" xfId="0" applyNumberFormat="1" applyFont="1" applyFill="1" applyBorder="1" applyAlignment="1">
      <alignment vertical="top"/>
    </xf>
    <xf numFmtId="4" fontId="3" fillId="0" borderId="6" xfId="0" applyNumberFormat="1" applyFont="1" applyBorder="1" applyAlignment="1">
      <alignment vertical="top"/>
    </xf>
    <xf numFmtId="4" fontId="3" fillId="0" borderId="7" xfId="0" applyNumberFormat="1" applyFont="1" applyBorder="1" applyAlignment="1">
      <alignment vertical="top"/>
    </xf>
    <xf numFmtId="49" fontId="0" fillId="3" borderId="5" xfId="0" applyNumberFormat="1" applyFont="1" applyFill="1" applyBorder="1" applyAlignment="1">
      <alignment vertical="top"/>
    </xf>
    <xf numFmtId="4" fontId="0" fillId="0" borderId="6" xfId="0" applyNumberFormat="1" applyFont="1" applyBorder="1" applyAlignment="1">
      <alignment vertical="top"/>
    </xf>
    <xf numFmtId="4" fontId="0" fillId="0" borderId="7" xfId="0" applyNumberFormat="1" applyFont="1" applyBorder="1" applyAlignment="1">
      <alignment vertical="top"/>
    </xf>
    <xf numFmtId="0" fontId="3" fillId="4" borderId="1" xfId="0" applyFont="1" applyFill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180" fontId="0" fillId="0" borderId="7" xfId="0" applyNumberFormat="1" applyFont="1" applyBorder="1" applyAlignment="1">
      <alignment vertical="top"/>
    </xf>
    <xf numFmtId="178" fontId="0" fillId="0" borderId="7" xfId="0" applyNumberFormat="1" applyFont="1" applyBorder="1" applyAlignment="1">
      <alignment vertical="top"/>
    </xf>
    <xf numFmtId="179" fontId="0" fillId="0" borderId="7" xfId="0" applyNumberFormat="1" applyFont="1" applyBorder="1" applyAlignment="1">
      <alignment vertical="top"/>
    </xf>
    <xf numFmtId="1" fontId="0" fillId="0" borderId="7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11" fontId="0" fillId="0" borderId="7" xfId="0" applyNumberFormat="1" applyFont="1" applyBorder="1" applyAlignment="1">
      <alignment vertical="top"/>
    </xf>
    <xf numFmtId="176" fontId="0" fillId="0" borderId="7" xfId="0" applyNumberFormat="1" applyFont="1" applyBorder="1" applyAlignment="1">
      <alignment vertical="top"/>
    </xf>
    <xf numFmtId="0" fontId="3" fillId="3" borderId="5" xfId="0" applyFont="1" applyFill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7" xfId="0" applyFont="1" applyBorder="1" applyAlignment="1">
      <alignment vertical="top"/>
    </xf>
    <xf numFmtId="177" fontId="0" fillId="0" borderId="7" xfId="0" applyNumberFormat="1" applyFont="1" applyBorder="1" applyAlignment="1">
      <alignment vertical="top"/>
    </xf>
    <xf numFmtId="2" fontId="0" fillId="0" borderId="7" xfId="0" applyNumberFormat="1" applyFont="1" applyBorder="1" applyAlignment="1">
      <alignment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D5D5D5"/>
      <rgbColor rgb="00A5A5A5"/>
      <rgbColor rgb="003F3F3F"/>
      <rgbColor rgb="00BDC0BF"/>
      <rgbColor rgb="00DBDBD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AA164"/>
  <sheetViews>
    <sheetView showGridLines="0" tabSelected="1" zoomScale="130" zoomScaleNormal="130" workbookViewId="0">
      <pane xSplit="1" ySplit="3" topLeftCell="B90" activePane="bottomRight" state="frozen"/>
      <selection/>
      <selection pane="topRight"/>
      <selection pane="bottomLeft"/>
      <selection pane="bottomRight" activeCell="C97" sqref="C97"/>
    </sheetView>
  </sheetViews>
  <sheetFormatPr defaultColWidth="8.33333333333333" defaultRowHeight="19.9" customHeight="1"/>
  <cols>
    <col min="1" max="1" width="23.175" style="1" customWidth="1"/>
    <col min="2" max="23" width="16.35" style="1" customWidth="1"/>
    <col min="24" max="27" width="11.35" style="1" customWidth="1"/>
    <col min="28" max="256" width="8.35" style="1" customWidth="1"/>
  </cols>
  <sheetData>
    <row r="1" ht="27.65" customHeight="1" spans="1:2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1" customHeight="1" spans="1:27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4"/>
      <c r="Y2" s="14"/>
      <c r="Z2" s="14"/>
      <c r="AA2" s="14"/>
    </row>
    <row r="3" ht="20.25" customHeight="1" spans="1:27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15" t="s">
        <v>25</v>
      </c>
      <c r="Y3" s="15" t="s">
        <v>26</v>
      </c>
      <c r="Z3" s="15" t="s">
        <v>27</v>
      </c>
      <c r="AA3" s="20"/>
    </row>
    <row r="4" ht="20.05" customHeight="1" spans="1:27">
      <c r="A4" s="8" t="s">
        <v>28</v>
      </c>
      <c r="B4" s="9">
        <v>1473257000</v>
      </c>
      <c r="C4" s="10">
        <v>1430656000</v>
      </c>
      <c r="D4" s="10">
        <v>1398795000</v>
      </c>
      <c r="E4" s="10">
        <v>1319298000</v>
      </c>
      <c r="F4" s="10">
        <v>1271077000</v>
      </c>
      <c r="G4" s="10">
        <v>1239518000</v>
      </c>
      <c r="H4" s="10">
        <v>1287199000</v>
      </c>
      <c r="I4" s="10">
        <v>1149450000</v>
      </c>
      <c r="J4" s="10">
        <v>1100650000</v>
      </c>
      <c r="K4" s="10">
        <v>1044657000</v>
      </c>
      <c r="L4" s="10">
        <v>1030711000</v>
      </c>
      <c r="M4" s="10">
        <v>992781000</v>
      </c>
      <c r="N4" s="10">
        <v>933720000</v>
      </c>
      <c r="O4" s="10">
        <v>892127000</v>
      </c>
      <c r="P4" s="10">
        <v>865662000</v>
      </c>
      <c r="Q4" s="10">
        <v>773895000</v>
      </c>
      <c r="R4" s="10">
        <v>747269000</v>
      </c>
      <c r="S4" s="10">
        <v>709360000</v>
      </c>
      <c r="T4" s="10">
        <v>354927000</v>
      </c>
      <c r="U4" s="10">
        <v>301697000</v>
      </c>
      <c r="V4" s="10">
        <v>280600000</v>
      </c>
      <c r="W4" s="10">
        <v>89400000</v>
      </c>
      <c r="X4" s="16">
        <v>86992000</v>
      </c>
      <c r="Y4" s="16">
        <v>0</v>
      </c>
      <c r="Z4" s="16">
        <v>0</v>
      </c>
      <c r="AA4" s="19">
        <v>0</v>
      </c>
    </row>
    <row r="5" ht="20.05" customHeight="1" spans="1:27">
      <c r="A5" s="11" t="s">
        <v>29</v>
      </c>
      <c r="B5" s="12">
        <v>1199435000</v>
      </c>
      <c r="C5" s="13">
        <v>1097601000</v>
      </c>
      <c r="D5" s="13">
        <v>1089218000</v>
      </c>
      <c r="E5" s="13">
        <v>1113781000</v>
      </c>
      <c r="F5" s="13">
        <v>1150784000</v>
      </c>
      <c r="G5" s="13">
        <v>1113018000</v>
      </c>
      <c r="H5" s="13">
        <v>1151624000</v>
      </c>
      <c r="I5" s="13">
        <v>1029254000</v>
      </c>
      <c r="J5" s="13">
        <v>986696000</v>
      </c>
      <c r="K5" s="13">
        <v>936459000</v>
      </c>
      <c r="L5" s="13">
        <v>944739000</v>
      </c>
      <c r="M5" s="13">
        <v>910437000</v>
      </c>
      <c r="N5" s="13">
        <v>865000000</v>
      </c>
      <c r="O5" s="13">
        <v>832051000</v>
      </c>
      <c r="P5" s="13">
        <v>810261000</v>
      </c>
      <c r="Q5" s="13">
        <v>732796000</v>
      </c>
      <c r="R5" s="13">
        <v>702454000</v>
      </c>
      <c r="S5" s="13">
        <v>685068000</v>
      </c>
      <c r="T5" s="13">
        <v>332181000</v>
      </c>
      <c r="U5" s="13">
        <v>282487000</v>
      </c>
      <c r="V5" s="13">
        <v>265200000</v>
      </c>
      <c r="W5" s="13">
        <v>77200000</v>
      </c>
      <c r="X5" s="17">
        <v>76161000</v>
      </c>
      <c r="Y5" s="17">
        <v>0</v>
      </c>
      <c r="Z5" s="17">
        <v>0</v>
      </c>
      <c r="AA5" s="19">
        <v>0</v>
      </c>
    </row>
    <row r="6" ht="20.05" customHeight="1" spans="1:27">
      <c r="A6" s="8" t="s">
        <v>30</v>
      </c>
      <c r="B6" s="9">
        <v>912145000</v>
      </c>
      <c r="C6" s="10">
        <v>865646000</v>
      </c>
      <c r="D6" s="10">
        <v>854665000</v>
      </c>
      <c r="E6" s="10">
        <v>943296000</v>
      </c>
      <c r="F6" s="10">
        <v>992904000</v>
      </c>
      <c r="G6" s="10">
        <v>954649000</v>
      </c>
      <c r="H6" s="10">
        <v>908717000</v>
      </c>
      <c r="I6" s="10">
        <v>864593000</v>
      </c>
      <c r="J6" s="10">
        <v>834747000</v>
      </c>
      <c r="K6" s="10">
        <v>808002000</v>
      </c>
      <c r="L6" s="10">
        <v>795900000</v>
      </c>
      <c r="M6" s="10">
        <v>750191000</v>
      </c>
      <c r="N6" s="10">
        <v>729506000</v>
      </c>
      <c r="O6" s="10">
        <v>715664000</v>
      </c>
      <c r="P6" s="10">
        <v>680613000</v>
      </c>
      <c r="Q6" s="10">
        <v>644516000</v>
      </c>
      <c r="R6" s="10">
        <v>627314000</v>
      </c>
      <c r="S6" s="10">
        <v>616508000</v>
      </c>
      <c r="T6" s="10">
        <v>252674000</v>
      </c>
      <c r="U6" s="10">
        <v>226337000</v>
      </c>
      <c r="V6" s="10">
        <v>221411000</v>
      </c>
      <c r="W6" s="10">
        <v>40480000</v>
      </c>
      <c r="X6" s="18">
        <v>39302000</v>
      </c>
      <c r="Y6" s="17">
        <v>0</v>
      </c>
      <c r="Z6" s="19">
        <v>0</v>
      </c>
      <c r="AA6" s="19">
        <v>0</v>
      </c>
    </row>
    <row r="7" ht="20.05" customHeight="1" spans="1:27">
      <c r="A7" s="11" t="s">
        <v>31</v>
      </c>
      <c r="B7" s="12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9">
        <v>0</v>
      </c>
      <c r="Y7" s="19">
        <v>0</v>
      </c>
      <c r="Z7" s="19">
        <v>0</v>
      </c>
      <c r="AA7" s="19">
        <v>0</v>
      </c>
    </row>
    <row r="8" ht="20.05" customHeight="1" spans="1:27">
      <c r="A8" s="11" t="s">
        <v>32</v>
      </c>
      <c r="B8" s="12">
        <v>611091000</v>
      </c>
      <c r="C8" s="13">
        <v>623994000</v>
      </c>
      <c r="D8" s="13">
        <v>627878000</v>
      </c>
      <c r="E8" s="13">
        <v>790945000</v>
      </c>
      <c r="F8" s="13">
        <v>992904000</v>
      </c>
      <c r="G8" s="13">
        <v>954649000</v>
      </c>
      <c r="H8" s="13">
        <v>908717000</v>
      </c>
      <c r="I8" s="13">
        <v>864593000</v>
      </c>
      <c r="J8" s="13">
        <v>834747000</v>
      </c>
      <c r="K8" s="13">
        <v>808002000</v>
      </c>
      <c r="L8" s="13">
        <v>795900000</v>
      </c>
      <c r="M8" s="13">
        <v>750191000</v>
      </c>
      <c r="N8" s="13">
        <v>729506000</v>
      </c>
      <c r="O8" s="13">
        <v>715664000</v>
      </c>
      <c r="P8" s="13">
        <v>680613000</v>
      </c>
      <c r="Q8" s="13">
        <v>644516000</v>
      </c>
      <c r="R8" s="13">
        <v>627314000</v>
      </c>
      <c r="S8" s="13">
        <v>616508000</v>
      </c>
      <c r="T8" s="13">
        <v>252674000</v>
      </c>
      <c r="U8" s="13">
        <v>226337000</v>
      </c>
      <c r="V8" s="13">
        <v>221411000</v>
      </c>
      <c r="W8" s="13">
        <v>40480000</v>
      </c>
      <c r="X8" s="17">
        <v>39302000</v>
      </c>
      <c r="Y8" s="17">
        <v>0</v>
      </c>
      <c r="Z8" s="19">
        <v>0</v>
      </c>
      <c r="AA8" s="19">
        <v>0</v>
      </c>
    </row>
    <row r="9" ht="20.05" customHeight="1" spans="1:27">
      <c r="A9" s="11" t="s">
        <v>33</v>
      </c>
      <c r="B9" s="12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9">
        <v>0</v>
      </c>
      <c r="Y9" s="19">
        <v>0</v>
      </c>
      <c r="Z9" s="19">
        <v>0</v>
      </c>
      <c r="AA9" s="19">
        <v>0</v>
      </c>
    </row>
    <row r="10" ht="20.05" customHeight="1" spans="1:27">
      <c r="A10" s="11" t="s">
        <v>34</v>
      </c>
      <c r="B10" s="12">
        <v>301054000</v>
      </c>
      <c r="C10" s="13">
        <v>241652000</v>
      </c>
      <c r="D10" s="13">
        <v>226787000</v>
      </c>
      <c r="E10" s="13">
        <v>152351000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7">
        <v>0</v>
      </c>
      <c r="Y10" s="17">
        <v>0</v>
      </c>
      <c r="Z10" s="19">
        <v>0</v>
      </c>
      <c r="AA10" s="19">
        <v>0</v>
      </c>
    </row>
    <row r="11" ht="20.05" customHeight="1" spans="1:27">
      <c r="A11" s="11" t="s">
        <v>35</v>
      </c>
      <c r="B11" s="12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9">
        <v>0</v>
      </c>
      <c r="Y11" s="19">
        <v>0</v>
      </c>
      <c r="Z11" s="19">
        <v>0</v>
      </c>
      <c r="AA11" s="19">
        <v>0</v>
      </c>
    </row>
    <row r="12" ht="20.05" customHeight="1" spans="1:27">
      <c r="A12" s="11" t="s">
        <v>36</v>
      </c>
      <c r="B12" s="12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9">
        <v>0</v>
      </c>
      <c r="Y12" s="19">
        <v>0</v>
      </c>
      <c r="Z12" s="19">
        <v>0</v>
      </c>
      <c r="AA12" s="19">
        <v>0</v>
      </c>
    </row>
    <row r="13" ht="20.05" customHeight="1" spans="1:27">
      <c r="A13" s="11" t="s">
        <v>37</v>
      </c>
      <c r="B13" s="12">
        <v>170907000</v>
      </c>
      <c r="C13" s="13">
        <v>132611000</v>
      </c>
      <c r="D13" s="13">
        <v>203366000</v>
      </c>
      <c r="E13" s="13">
        <v>131595000</v>
      </c>
      <c r="F13" s="13">
        <v>137588000</v>
      </c>
      <c r="G13" s="13">
        <v>130780000</v>
      </c>
      <c r="H13" s="13">
        <v>206765000</v>
      </c>
      <c r="I13" s="13">
        <v>136940000</v>
      </c>
      <c r="J13" s="13">
        <v>134025000</v>
      </c>
      <c r="K13" s="13">
        <v>108747000</v>
      </c>
      <c r="L13" s="13">
        <v>131784000</v>
      </c>
      <c r="M13" s="13">
        <v>114826000</v>
      </c>
      <c r="N13" s="13">
        <v>97998000</v>
      </c>
      <c r="O13" s="13">
        <v>83138000</v>
      </c>
      <c r="P13" s="13">
        <v>99910000</v>
      </c>
      <c r="Q13" s="13">
        <v>67497000</v>
      </c>
      <c r="R13" s="13">
        <v>56444000</v>
      </c>
      <c r="S13" s="13">
        <v>50513000</v>
      </c>
      <c r="T13" s="13">
        <v>61158000</v>
      </c>
      <c r="U13" s="13">
        <v>44173000</v>
      </c>
      <c r="V13" s="13">
        <v>33423000</v>
      </c>
      <c r="W13" s="13">
        <v>28000000</v>
      </c>
      <c r="X13" s="17">
        <v>30752000</v>
      </c>
      <c r="Y13" s="18">
        <v>0</v>
      </c>
      <c r="Z13" s="19">
        <v>0</v>
      </c>
      <c r="AA13" s="19">
        <v>0</v>
      </c>
    </row>
    <row r="14" ht="20.05" customHeight="1" spans="1:27">
      <c r="A14" s="11" t="s">
        <v>38</v>
      </c>
      <c r="B14" s="12">
        <v>115605000</v>
      </c>
      <c r="C14" s="13">
        <v>98461000</v>
      </c>
      <c r="D14" s="13">
        <v>30514000</v>
      </c>
      <c r="E14" s="13">
        <v>38442000</v>
      </c>
      <c r="F14" s="13">
        <v>20055000</v>
      </c>
      <c r="G14" s="13">
        <v>27460000</v>
      </c>
      <c r="H14" s="13">
        <v>36011000</v>
      </c>
      <c r="I14" s="13">
        <v>27716000</v>
      </c>
      <c r="J14" s="13">
        <v>17919000</v>
      </c>
      <c r="K14" s="13">
        <v>19586000</v>
      </c>
      <c r="L14" s="13">
        <v>16977000</v>
      </c>
      <c r="M14" s="13">
        <v>18755000</v>
      </c>
      <c r="N14" s="13">
        <v>15594000</v>
      </c>
      <c r="O14" s="13">
        <v>11355000</v>
      </c>
      <c r="P14" s="13">
        <v>10777000</v>
      </c>
      <c r="Q14" s="13">
        <v>9322000</v>
      </c>
      <c r="R14" s="13">
        <v>7629000</v>
      </c>
      <c r="S14" s="13">
        <v>7118000</v>
      </c>
      <c r="T14" s="13">
        <v>7180000</v>
      </c>
      <c r="U14" s="13">
        <v>5206000</v>
      </c>
      <c r="V14" s="13">
        <v>4302000</v>
      </c>
      <c r="W14" s="13">
        <v>2901000</v>
      </c>
      <c r="X14" s="19">
        <v>2789000</v>
      </c>
      <c r="Y14" s="19">
        <v>0</v>
      </c>
      <c r="Z14" s="19">
        <v>0</v>
      </c>
      <c r="AA14" s="19">
        <v>0</v>
      </c>
    </row>
    <row r="15" ht="20.05" customHeight="1" spans="1:27">
      <c r="A15" s="11" t="s">
        <v>39</v>
      </c>
      <c r="B15" s="12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9">
        <v>0</v>
      </c>
      <c r="Y15" s="19">
        <v>0</v>
      </c>
      <c r="Z15" s="19">
        <v>0</v>
      </c>
      <c r="AA15" s="19">
        <v>0</v>
      </c>
    </row>
    <row r="16" ht="20.05" customHeight="1" spans="1:27">
      <c r="A16" s="11" t="s">
        <v>40</v>
      </c>
      <c r="B16" s="12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9">
        <v>0</v>
      </c>
      <c r="Y16" s="19">
        <v>0</v>
      </c>
      <c r="Z16" s="19">
        <v>0</v>
      </c>
      <c r="AA16" s="19">
        <v>0</v>
      </c>
    </row>
    <row r="17" ht="20.05" customHeight="1" spans="1:27">
      <c r="A17" s="11" t="s">
        <v>41</v>
      </c>
      <c r="B17" s="12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9">
        <v>0</v>
      </c>
      <c r="Y17" s="19">
        <v>0</v>
      </c>
      <c r="Z17" s="19">
        <v>0</v>
      </c>
      <c r="AA17" s="19">
        <v>0</v>
      </c>
    </row>
    <row r="18" ht="20.05" customHeight="1" spans="1:27">
      <c r="A18" s="11" t="s">
        <v>42</v>
      </c>
      <c r="B18" s="12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9">
        <v>0</v>
      </c>
      <c r="Y18" s="19">
        <v>0</v>
      </c>
      <c r="Z18" s="19">
        <v>0</v>
      </c>
      <c r="AA18" s="19">
        <v>0</v>
      </c>
    </row>
    <row r="19" ht="20.05" customHeight="1" spans="1:27">
      <c r="A19" s="11" t="s">
        <v>43</v>
      </c>
      <c r="B19" s="12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9">
        <v>0</v>
      </c>
      <c r="Y19" s="19">
        <v>0</v>
      </c>
      <c r="Z19" s="19">
        <v>0</v>
      </c>
      <c r="AA19" s="19">
        <v>0</v>
      </c>
    </row>
    <row r="20" ht="20.05" customHeight="1" spans="1:27">
      <c r="A20" s="11" t="s">
        <v>44</v>
      </c>
      <c r="B20" s="12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9">
        <v>0</v>
      </c>
      <c r="Y20" s="19">
        <v>0</v>
      </c>
      <c r="Z20" s="19">
        <v>0</v>
      </c>
      <c r="AA20" s="19">
        <v>0</v>
      </c>
    </row>
    <row r="21" ht="20.05" customHeight="1" spans="1:27">
      <c r="A21" s="11" t="s">
        <v>45</v>
      </c>
      <c r="B21" s="12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8">
        <v>0</v>
      </c>
      <c r="Y21" s="21">
        <v>0</v>
      </c>
      <c r="Z21" s="19">
        <v>0</v>
      </c>
      <c r="AA21" s="19">
        <v>0</v>
      </c>
    </row>
    <row r="22" ht="20.05" customHeight="1" spans="1:27">
      <c r="A22" s="11" t="s">
        <v>46</v>
      </c>
      <c r="B22" s="12">
        <v>4072000</v>
      </c>
      <c r="C22" s="13">
        <v>4215000</v>
      </c>
      <c r="D22" s="13">
        <v>5287000</v>
      </c>
      <c r="E22" s="13">
        <v>2482000</v>
      </c>
      <c r="F22" s="13">
        <v>1591000</v>
      </c>
      <c r="G22" s="13">
        <v>1760000</v>
      </c>
      <c r="H22" s="13">
        <v>1449000</v>
      </c>
      <c r="I22" s="13">
        <v>1455000</v>
      </c>
      <c r="J22" s="13">
        <v>1439000</v>
      </c>
      <c r="K22" s="13">
        <v>1462000</v>
      </c>
      <c r="L22" s="13">
        <v>1544000</v>
      </c>
      <c r="M22" s="13">
        <v>6001000</v>
      </c>
      <c r="N22" s="13">
        <v>6371000</v>
      </c>
      <c r="O22" s="13">
        <v>5812000</v>
      </c>
      <c r="P22" s="13">
        <v>5879000</v>
      </c>
      <c r="Q22" s="13">
        <v>774000</v>
      </c>
      <c r="R22" s="13">
        <v>792000</v>
      </c>
      <c r="S22" s="13">
        <v>813000</v>
      </c>
      <c r="T22" s="13">
        <v>589000</v>
      </c>
      <c r="U22" s="13">
        <v>190000</v>
      </c>
      <c r="V22" s="13">
        <v>110000</v>
      </c>
      <c r="W22" s="13">
        <v>42000</v>
      </c>
      <c r="X22" s="18">
        <v>66000</v>
      </c>
      <c r="Y22" s="18">
        <v>0</v>
      </c>
      <c r="Z22" s="19">
        <v>0</v>
      </c>
      <c r="AA22" s="19">
        <v>0</v>
      </c>
    </row>
    <row r="23" ht="20.05" customHeight="1" spans="1:27">
      <c r="A23" s="11" t="s">
        <v>47</v>
      </c>
      <c r="B23" s="12">
        <v>778000</v>
      </c>
      <c r="C23" s="13">
        <v>883000</v>
      </c>
      <c r="D23" s="13">
        <v>673000</v>
      </c>
      <c r="E23" s="13">
        <v>448000</v>
      </c>
      <c r="F23" s="13">
        <v>237000</v>
      </c>
      <c r="G23" s="13">
        <v>129000</v>
      </c>
      <c r="H23" s="13">
        <v>131000</v>
      </c>
      <c r="I23" s="13">
        <v>5000</v>
      </c>
      <c r="J23" s="13">
        <v>5000</v>
      </c>
      <c r="K23" s="13">
        <v>124000</v>
      </c>
      <c r="L23" s="13">
        <v>78000</v>
      </c>
      <c r="M23" s="13">
        <v>207000</v>
      </c>
      <c r="N23" s="13">
        <v>150000</v>
      </c>
      <c r="O23" s="13">
        <v>233000</v>
      </c>
      <c r="P23" s="13">
        <v>229000</v>
      </c>
      <c r="Q23" s="13">
        <v>2094000</v>
      </c>
      <c r="R23" s="13">
        <v>2069000</v>
      </c>
      <c r="S23" s="13">
        <v>2069000</v>
      </c>
      <c r="T23" s="13">
        <v>2033000</v>
      </c>
      <c r="U23" s="13">
        <v>4521000</v>
      </c>
      <c r="V23" s="13">
        <v>3829000</v>
      </c>
      <c r="W23" s="13">
        <v>3608000</v>
      </c>
      <c r="X23" s="18">
        <v>1072000</v>
      </c>
      <c r="Y23" s="18">
        <v>0</v>
      </c>
      <c r="Z23" s="19">
        <v>0</v>
      </c>
      <c r="AA23" s="19">
        <v>0</v>
      </c>
    </row>
    <row r="24" ht="20.05" customHeight="1" spans="1:27">
      <c r="A24" s="8" t="s">
        <v>48</v>
      </c>
      <c r="B24" s="9">
        <v>273822000</v>
      </c>
      <c r="C24" s="10">
        <v>333055000</v>
      </c>
      <c r="D24" s="10">
        <v>309577000</v>
      </c>
      <c r="E24" s="10">
        <v>205517000</v>
      </c>
      <c r="F24" s="10">
        <v>120293000</v>
      </c>
      <c r="G24" s="10">
        <v>126500000</v>
      </c>
      <c r="H24" s="10">
        <v>135575000</v>
      </c>
      <c r="I24" s="10">
        <v>120196000</v>
      </c>
      <c r="J24" s="10">
        <v>113954000</v>
      </c>
      <c r="K24" s="10">
        <v>108198000</v>
      </c>
      <c r="L24" s="10">
        <v>85972000</v>
      </c>
      <c r="M24" s="10">
        <v>82344000</v>
      </c>
      <c r="N24" s="10">
        <v>68720000</v>
      </c>
      <c r="O24" s="10">
        <v>60076000</v>
      </c>
      <c r="P24" s="10">
        <v>55401000</v>
      </c>
      <c r="Q24" s="10">
        <v>41099000</v>
      </c>
      <c r="R24" s="10">
        <v>44815000</v>
      </c>
      <c r="S24" s="10">
        <v>24292000</v>
      </c>
      <c r="T24" s="10">
        <v>22746000</v>
      </c>
      <c r="U24" s="10">
        <v>19210000</v>
      </c>
      <c r="V24" s="10">
        <v>15407000</v>
      </c>
      <c r="W24" s="10">
        <v>12206000</v>
      </c>
      <c r="X24" s="17">
        <v>10831000</v>
      </c>
      <c r="Y24" s="16">
        <v>0</v>
      </c>
      <c r="Z24" s="19">
        <v>0</v>
      </c>
      <c r="AA24" s="19">
        <v>0</v>
      </c>
    </row>
    <row r="25" ht="20.05" customHeight="1" spans="1:27">
      <c r="A25" s="8" t="s">
        <v>49</v>
      </c>
      <c r="B25" s="9">
        <v>95603000</v>
      </c>
      <c r="C25" s="10">
        <v>101121000</v>
      </c>
      <c r="D25" s="10">
        <v>106753000</v>
      </c>
      <c r="E25" s="10">
        <v>106100000</v>
      </c>
      <c r="F25" s="10">
        <v>92968000</v>
      </c>
      <c r="G25" s="10">
        <v>98255000</v>
      </c>
      <c r="H25" s="10">
        <v>106637000</v>
      </c>
      <c r="I25" s="10">
        <v>91056000</v>
      </c>
      <c r="J25" s="10">
        <v>84662000</v>
      </c>
      <c r="K25" s="10">
        <v>78403000</v>
      </c>
      <c r="L25" s="10">
        <v>72350000</v>
      </c>
      <c r="M25" s="10">
        <v>66587000</v>
      </c>
      <c r="N25" s="10">
        <v>56168000</v>
      </c>
      <c r="O25" s="10">
        <v>50106000</v>
      </c>
      <c r="P25" s="10">
        <v>45627000</v>
      </c>
      <c r="Q25" s="10">
        <v>38799000</v>
      </c>
      <c r="R25" s="10">
        <v>43151000</v>
      </c>
      <c r="S25" s="10">
        <v>22667000</v>
      </c>
      <c r="T25" s="10">
        <v>21338000</v>
      </c>
      <c r="U25" s="10">
        <v>18184000</v>
      </c>
      <c r="V25" s="10">
        <v>14619000</v>
      </c>
      <c r="W25" s="10">
        <v>10283000</v>
      </c>
      <c r="X25" s="17">
        <v>10346000</v>
      </c>
      <c r="Y25" s="19">
        <v>0</v>
      </c>
      <c r="Z25" s="19">
        <v>0</v>
      </c>
      <c r="AA25" s="19">
        <v>0</v>
      </c>
    </row>
    <row r="26" ht="20.05" customHeight="1" spans="1:27">
      <c r="A26" s="11" t="s">
        <v>50</v>
      </c>
      <c r="B26" s="12">
        <v>0</v>
      </c>
      <c r="C26" s="13">
        <v>0</v>
      </c>
      <c r="D26" s="13">
        <v>209764000</v>
      </c>
      <c r="E26" s="13">
        <v>0</v>
      </c>
      <c r="F26" s="13">
        <v>0</v>
      </c>
      <c r="G26" s="13">
        <v>0</v>
      </c>
      <c r="H26" s="13">
        <v>183896000</v>
      </c>
      <c r="I26" s="13">
        <v>0</v>
      </c>
      <c r="J26" s="13">
        <v>0</v>
      </c>
      <c r="K26" s="13">
        <v>0</v>
      </c>
      <c r="L26" s="13">
        <v>121450000</v>
      </c>
      <c r="M26" s="13">
        <v>0</v>
      </c>
      <c r="N26" s="13">
        <v>0</v>
      </c>
      <c r="O26" s="13">
        <v>0</v>
      </c>
      <c r="P26" s="13">
        <v>72674000</v>
      </c>
      <c r="Q26" s="13">
        <v>0</v>
      </c>
      <c r="R26" s="13">
        <v>0</v>
      </c>
      <c r="S26" s="13">
        <v>0</v>
      </c>
      <c r="T26" s="13">
        <v>35532000</v>
      </c>
      <c r="U26" s="13">
        <v>0</v>
      </c>
      <c r="V26" s="13">
        <v>0</v>
      </c>
      <c r="W26" s="13">
        <v>19545000</v>
      </c>
      <c r="X26" s="17">
        <v>18273000</v>
      </c>
      <c r="Y26" s="19">
        <v>0</v>
      </c>
      <c r="Z26" s="19">
        <v>0</v>
      </c>
      <c r="AA26" s="19">
        <v>0</v>
      </c>
    </row>
    <row r="27" ht="20.05" customHeight="1" spans="1:27">
      <c r="A27" s="11" t="s">
        <v>51</v>
      </c>
      <c r="B27" s="12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9">
        <v>0</v>
      </c>
      <c r="Y27" s="19">
        <v>0</v>
      </c>
      <c r="Z27" s="19">
        <v>0</v>
      </c>
      <c r="AA27" s="19">
        <v>0</v>
      </c>
    </row>
    <row r="28" ht="20.05" customHeight="1" spans="1:27">
      <c r="A28" s="11" t="s">
        <v>52</v>
      </c>
      <c r="B28" s="12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9">
        <v>0</v>
      </c>
      <c r="Y28" s="19">
        <v>0</v>
      </c>
      <c r="Z28" s="19">
        <v>0</v>
      </c>
      <c r="AA28" s="19">
        <v>0</v>
      </c>
    </row>
    <row r="29" ht="20.05" customHeight="1" spans="1:27">
      <c r="A29" s="11" t="s">
        <v>53</v>
      </c>
      <c r="B29" s="12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9">
        <v>0</v>
      </c>
      <c r="Y29" s="19">
        <v>0</v>
      </c>
      <c r="Z29" s="19">
        <v>0</v>
      </c>
      <c r="AA29" s="19">
        <v>0</v>
      </c>
    </row>
    <row r="30" ht="20.05" customHeight="1" spans="1:27">
      <c r="A30" s="11" t="s">
        <v>54</v>
      </c>
      <c r="B30" s="12">
        <v>0</v>
      </c>
      <c r="C30" s="13">
        <v>0</v>
      </c>
      <c r="D30" s="13">
        <v>-103011000</v>
      </c>
      <c r="E30" s="13">
        <v>0</v>
      </c>
      <c r="F30" s="13">
        <v>0</v>
      </c>
      <c r="G30" s="13">
        <v>0</v>
      </c>
      <c r="H30" s="13">
        <v>-77259000</v>
      </c>
      <c r="I30" s="13">
        <v>0</v>
      </c>
      <c r="J30" s="13">
        <v>0</v>
      </c>
      <c r="K30" s="13">
        <v>0</v>
      </c>
      <c r="L30" s="13">
        <v>-49100000</v>
      </c>
      <c r="M30" s="13">
        <v>0</v>
      </c>
      <c r="N30" s="13">
        <v>0</v>
      </c>
      <c r="O30" s="13">
        <v>0</v>
      </c>
      <c r="P30" s="13">
        <v>-27047000</v>
      </c>
      <c r="Q30" s="13">
        <v>0</v>
      </c>
      <c r="R30" s="13">
        <v>0</v>
      </c>
      <c r="S30" s="13">
        <v>0</v>
      </c>
      <c r="T30" s="13">
        <v>-14194000</v>
      </c>
      <c r="U30" s="13">
        <v>0</v>
      </c>
      <c r="V30" s="13">
        <v>0</v>
      </c>
      <c r="W30" s="13">
        <v>-9262000</v>
      </c>
      <c r="X30" s="18">
        <v>-7927000</v>
      </c>
      <c r="Y30" s="18">
        <v>0</v>
      </c>
      <c r="Z30" s="19">
        <v>0</v>
      </c>
      <c r="AA30" s="19">
        <v>0</v>
      </c>
    </row>
    <row r="31" ht="20.05" customHeight="1" spans="1:27">
      <c r="A31" s="11" t="s">
        <v>55</v>
      </c>
      <c r="B31" s="12">
        <v>89991000</v>
      </c>
      <c r="C31" s="13">
        <v>157497000</v>
      </c>
      <c r="D31" s="13">
        <v>148364000</v>
      </c>
      <c r="E31" s="13">
        <v>45512000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7">
        <v>0</v>
      </c>
      <c r="Y31" s="17">
        <v>0</v>
      </c>
      <c r="Z31" s="19">
        <v>0</v>
      </c>
      <c r="AA31" s="19">
        <v>0</v>
      </c>
    </row>
    <row r="32" ht="20.05" customHeight="1" spans="1:27">
      <c r="A32" s="11" t="s">
        <v>56</v>
      </c>
      <c r="B32" s="12">
        <v>42530000</v>
      </c>
      <c r="C32" s="13">
        <v>35083000</v>
      </c>
      <c r="D32" s="13">
        <v>35083000</v>
      </c>
      <c r="E32" s="13">
        <v>35083000</v>
      </c>
      <c r="F32" s="13">
        <v>15531000</v>
      </c>
      <c r="G32" s="13">
        <v>15531000</v>
      </c>
      <c r="H32" s="13">
        <v>15531000</v>
      </c>
      <c r="I32" s="13">
        <v>15531000</v>
      </c>
      <c r="J32" s="13">
        <v>15531000</v>
      </c>
      <c r="K32" s="13">
        <v>15531000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8">
        <v>0</v>
      </c>
      <c r="Y32" s="18">
        <v>0</v>
      </c>
      <c r="Z32" s="19">
        <v>0</v>
      </c>
      <c r="AA32" s="19">
        <v>0</v>
      </c>
    </row>
    <row r="33" ht="20.05" customHeight="1" spans="1:27">
      <c r="A33" s="11" t="s">
        <v>57</v>
      </c>
      <c r="B33" s="12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9">
        <v>0</v>
      </c>
      <c r="Y33" s="19">
        <v>0</v>
      </c>
      <c r="Z33" s="19">
        <v>0</v>
      </c>
      <c r="AA33" s="19">
        <v>0</v>
      </c>
    </row>
    <row r="34" ht="20.05" customHeight="1" spans="1:27">
      <c r="A34" s="11" t="s">
        <v>58</v>
      </c>
      <c r="B34" s="12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9">
        <v>0</v>
      </c>
      <c r="Y34" s="19">
        <v>0</v>
      </c>
      <c r="Z34" s="19">
        <v>0</v>
      </c>
      <c r="AA34" s="19">
        <v>0</v>
      </c>
    </row>
    <row r="35" ht="20.05" customHeight="1" spans="1:27">
      <c r="A35" s="11" t="s">
        <v>59</v>
      </c>
      <c r="B35" s="12">
        <v>41626000</v>
      </c>
      <c r="C35" s="13">
        <v>35139000</v>
      </c>
      <c r="D35" s="13">
        <v>14090000</v>
      </c>
      <c r="E35" s="13">
        <v>16340000</v>
      </c>
      <c r="F35" s="13">
        <v>10203000</v>
      </c>
      <c r="G35" s="13">
        <v>10954000</v>
      </c>
      <c r="H35" s="13">
        <v>11958000</v>
      </c>
      <c r="I35" s="13">
        <v>12154000</v>
      </c>
      <c r="J35" s="13">
        <v>12322000</v>
      </c>
      <c r="K35" s="13">
        <v>12802000</v>
      </c>
      <c r="L35" s="13">
        <v>12078000</v>
      </c>
      <c r="M35" s="13">
        <v>9756000</v>
      </c>
      <c r="N35" s="13">
        <v>6181000</v>
      </c>
      <c r="O35" s="13">
        <v>4158000</v>
      </c>
      <c r="P35" s="13">
        <v>3895000</v>
      </c>
      <c r="Q35" s="13">
        <v>1526000</v>
      </c>
      <c r="R35" s="13">
        <v>872000</v>
      </c>
      <c r="S35" s="13">
        <v>812000</v>
      </c>
      <c r="T35" s="13">
        <v>819000</v>
      </c>
      <c r="U35" s="13">
        <v>836000</v>
      </c>
      <c r="V35" s="13">
        <v>678000</v>
      </c>
      <c r="W35" s="13">
        <v>1881000</v>
      </c>
      <c r="X35" s="18">
        <v>419000</v>
      </c>
      <c r="Y35" s="18">
        <v>0</v>
      </c>
      <c r="Z35" s="19">
        <v>0</v>
      </c>
      <c r="AA35" s="19">
        <v>0</v>
      </c>
    </row>
    <row r="36" ht="20.05" customHeight="1" spans="1:27">
      <c r="A36" s="11" t="s">
        <v>60</v>
      </c>
      <c r="B36" s="12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9">
        <v>0</v>
      </c>
      <c r="Y36" s="19">
        <v>0</v>
      </c>
      <c r="Z36" s="19">
        <v>0</v>
      </c>
      <c r="AA36" s="19">
        <v>0</v>
      </c>
    </row>
    <row r="37" ht="20.05" customHeight="1" spans="1:27">
      <c r="A37" s="11" t="s">
        <v>61</v>
      </c>
      <c r="B37" s="12">
        <v>1473257000</v>
      </c>
      <c r="C37" s="13">
        <v>1430656000</v>
      </c>
      <c r="D37" s="13">
        <v>1398795000</v>
      </c>
      <c r="E37" s="13">
        <v>1319298000</v>
      </c>
      <c r="F37" s="13">
        <v>1271077000</v>
      </c>
      <c r="G37" s="13">
        <v>1239518000</v>
      </c>
      <c r="H37" s="13">
        <v>1287199000</v>
      </c>
      <c r="I37" s="13">
        <v>1149450000</v>
      </c>
      <c r="J37" s="13">
        <v>1100650000</v>
      </c>
      <c r="K37" s="13">
        <v>1044657000</v>
      </c>
      <c r="L37" s="13">
        <v>1030711000</v>
      </c>
      <c r="M37" s="13">
        <v>992781000</v>
      </c>
      <c r="N37" s="13">
        <v>933720000</v>
      </c>
      <c r="O37" s="13">
        <v>892127000</v>
      </c>
      <c r="P37" s="13">
        <v>865662000</v>
      </c>
      <c r="Q37" s="13">
        <v>773895000</v>
      </c>
      <c r="R37" s="13">
        <v>747269000</v>
      </c>
      <c r="S37" s="13">
        <v>709360000</v>
      </c>
      <c r="T37" s="13">
        <v>354927000</v>
      </c>
      <c r="U37" s="13">
        <v>301697000</v>
      </c>
      <c r="V37" s="13">
        <v>280622000</v>
      </c>
      <c r="W37" s="13">
        <v>89441000</v>
      </c>
      <c r="X37" s="16">
        <v>86992000</v>
      </c>
      <c r="Y37" s="19">
        <v>0</v>
      </c>
      <c r="Z37" s="19">
        <v>0</v>
      </c>
      <c r="AA37" s="19">
        <v>0</v>
      </c>
    </row>
    <row r="38" ht="20.05" customHeight="1" spans="1:27">
      <c r="A38" s="8" t="s">
        <v>62</v>
      </c>
      <c r="B38" s="9">
        <v>525295000</v>
      </c>
      <c r="C38" s="10">
        <v>520783000</v>
      </c>
      <c r="D38" s="10">
        <v>645172000</v>
      </c>
      <c r="E38" s="10">
        <v>566696000</v>
      </c>
      <c r="F38" s="10">
        <v>501807000</v>
      </c>
      <c r="G38" s="10">
        <v>469645000</v>
      </c>
      <c r="H38" s="10">
        <v>495351000</v>
      </c>
      <c r="I38" s="10">
        <v>382409000</v>
      </c>
      <c r="J38" s="10">
        <v>353098000</v>
      </c>
      <c r="K38" s="10">
        <v>309465000</v>
      </c>
      <c r="L38" s="10">
        <v>296766000</v>
      </c>
      <c r="M38" s="10">
        <v>260339000</v>
      </c>
      <c r="N38" s="10">
        <v>226158000</v>
      </c>
      <c r="O38" s="10">
        <v>198641000</v>
      </c>
      <c r="P38" s="10">
        <v>193656000</v>
      </c>
      <c r="Q38" s="10">
        <v>151734000</v>
      </c>
      <c r="R38" s="10">
        <v>137083000</v>
      </c>
      <c r="S38" s="10">
        <v>109509000</v>
      </c>
      <c r="T38" s="10">
        <v>110267000</v>
      </c>
      <c r="U38" s="10">
        <v>86930000</v>
      </c>
      <c r="V38" s="10">
        <v>72600000</v>
      </c>
      <c r="W38" s="10">
        <v>59900000</v>
      </c>
      <c r="X38" s="17">
        <v>77049000</v>
      </c>
      <c r="Y38" s="18">
        <v>0</v>
      </c>
      <c r="Z38" s="17">
        <v>0</v>
      </c>
      <c r="AA38" s="22">
        <v>-8400000</v>
      </c>
    </row>
    <row r="39" ht="20.05" customHeight="1" spans="1:27">
      <c r="A39" s="8" t="s">
        <v>63</v>
      </c>
      <c r="B39" s="9">
        <v>455994000</v>
      </c>
      <c r="C39" s="10">
        <v>445185000</v>
      </c>
      <c r="D39" s="10">
        <v>562729000</v>
      </c>
      <c r="E39" s="10">
        <v>488135000</v>
      </c>
      <c r="F39" s="10">
        <v>426420000</v>
      </c>
      <c r="G39" s="10">
        <v>397799000</v>
      </c>
      <c r="H39" s="10">
        <v>428721000</v>
      </c>
      <c r="I39" s="10">
        <v>341852000</v>
      </c>
      <c r="J39" s="10">
        <v>317412000</v>
      </c>
      <c r="K39" s="10">
        <v>282001000</v>
      </c>
      <c r="L39" s="10">
        <v>272601000</v>
      </c>
      <c r="M39" s="10">
        <v>238747000</v>
      </c>
      <c r="N39" s="10">
        <v>205909000</v>
      </c>
      <c r="O39" s="10">
        <v>181663000</v>
      </c>
      <c r="P39" s="10">
        <v>180274000</v>
      </c>
      <c r="Q39" s="10">
        <v>140038000</v>
      </c>
      <c r="R39" s="10">
        <v>118393000</v>
      </c>
      <c r="S39" s="10">
        <v>103409000</v>
      </c>
      <c r="T39" s="10">
        <v>104289000</v>
      </c>
      <c r="U39" s="10">
        <v>79767000</v>
      </c>
      <c r="V39" s="10">
        <v>66300000</v>
      </c>
      <c r="W39" s="10">
        <v>53900000</v>
      </c>
      <c r="X39" s="17">
        <v>51930000</v>
      </c>
      <c r="Y39" s="18">
        <v>0</v>
      </c>
      <c r="Z39" s="17">
        <v>0</v>
      </c>
      <c r="AA39" s="22">
        <v>4300000</v>
      </c>
    </row>
    <row r="40" ht="20.05" customHeight="1" spans="1:27">
      <c r="A40" s="11" t="s">
        <v>64</v>
      </c>
      <c r="B40" s="12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9">
        <v>0</v>
      </c>
      <c r="Y40" s="19">
        <v>0</v>
      </c>
      <c r="Z40" s="19">
        <v>0</v>
      </c>
      <c r="AA40" s="19">
        <v>0</v>
      </c>
    </row>
    <row r="41" ht="20.05" customHeight="1" spans="1:27">
      <c r="A41" s="11" t="s">
        <v>65</v>
      </c>
      <c r="B41" s="12">
        <v>3829000</v>
      </c>
      <c r="C41" s="13">
        <v>2817000</v>
      </c>
      <c r="D41" s="13">
        <v>4448000</v>
      </c>
      <c r="E41" s="13">
        <v>9713000</v>
      </c>
      <c r="F41" s="13">
        <v>2912000</v>
      </c>
      <c r="G41" s="13">
        <v>2501000</v>
      </c>
      <c r="H41" s="13">
        <v>17637000</v>
      </c>
      <c r="I41" s="13">
        <v>6804000</v>
      </c>
      <c r="J41" s="13">
        <v>12596000</v>
      </c>
      <c r="K41" s="13">
        <v>4281000</v>
      </c>
      <c r="L41" s="13">
        <v>1152000</v>
      </c>
      <c r="M41" s="13">
        <v>5710000</v>
      </c>
      <c r="N41" s="13">
        <v>4582000</v>
      </c>
      <c r="O41" s="13">
        <v>5701000</v>
      </c>
      <c r="P41" s="13">
        <v>1978000</v>
      </c>
      <c r="Q41" s="13">
        <v>5426000</v>
      </c>
      <c r="R41" s="13">
        <v>5386000</v>
      </c>
      <c r="S41" s="13">
        <v>4056000</v>
      </c>
      <c r="T41" s="13">
        <v>2178000</v>
      </c>
      <c r="U41" s="13">
        <v>4253000</v>
      </c>
      <c r="V41" s="13">
        <v>3524000</v>
      </c>
      <c r="W41" s="13">
        <v>1572000</v>
      </c>
      <c r="X41" s="17">
        <v>2176000</v>
      </c>
      <c r="Y41" s="17">
        <v>0</v>
      </c>
      <c r="Z41" s="19">
        <v>0</v>
      </c>
      <c r="AA41" s="19">
        <v>0</v>
      </c>
    </row>
    <row r="42" ht="20.05" customHeight="1" spans="1:27">
      <c r="A42" s="11" t="s">
        <v>66</v>
      </c>
      <c r="B42" s="12">
        <v>1986000</v>
      </c>
      <c r="C42" s="13">
        <v>4467000</v>
      </c>
      <c r="D42" s="13">
        <v>4743000</v>
      </c>
      <c r="E42" s="13">
        <v>2002000</v>
      </c>
      <c r="F42" s="13">
        <v>2505000</v>
      </c>
      <c r="G42" s="13">
        <v>2767000</v>
      </c>
      <c r="H42" s="13">
        <v>1893000</v>
      </c>
      <c r="I42" s="13">
        <v>1496000</v>
      </c>
      <c r="J42" s="13">
        <v>1114000</v>
      </c>
      <c r="K42" s="13">
        <v>1106000</v>
      </c>
      <c r="L42" s="13">
        <v>1000000</v>
      </c>
      <c r="M42" s="13">
        <v>505000</v>
      </c>
      <c r="N42" s="13">
        <v>413000</v>
      </c>
      <c r="O42" s="13">
        <v>373000</v>
      </c>
      <c r="P42" s="13">
        <v>378000</v>
      </c>
      <c r="Q42" s="13">
        <v>234000</v>
      </c>
      <c r="R42" s="13">
        <v>235000</v>
      </c>
      <c r="S42" s="13">
        <v>109000</v>
      </c>
      <c r="T42" s="13">
        <v>178000</v>
      </c>
      <c r="U42" s="13">
        <v>348000</v>
      </c>
      <c r="V42" s="13">
        <v>317000</v>
      </c>
      <c r="W42" s="13">
        <v>165000</v>
      </c>
      <c r="X42" s="18">
        <v>129000</v>
      </c>
      <c r="Y42" s="18">
        <v>0</v>
      </c>
      <c r="Z42" s="19">
        <v>0</v>
      </c>
      <c r="AA42" s="19">
        <v>0</v>
      </c>
    </row>
    <row r="43" ht="20.05" customHeight="1" spans="1:27">
      <c r="A43" s="11" t="s">
        <v>67</v>
      </c>
      <c r="B43" s="12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102816000</v>
      </c>
      <c r="J43" s="13">
        <v>90151000</v>
      </c>
      <c r="K43" s="13">
        <v>80790000</v>
      </c>
      <c r="L43" s="13">
        <v>84841000</v>
      </c>
      <c r="M43" s="13">
        <v>78570000</v>
      </c>
      <c r="N43" s="13">
        <v>61479000</v>
      </c>
      <c r="O43" s="13">
        <v>49244000</v>
      </c>
      <c r="P43" s="13">
        <v>55933000</v>
      </c>
      <c r="Q43" s="13">
        <v>41072000</v>
      </c>
      <c r="R43" s="13">
        <v>34348000</v>
      </c>
      <c r="S43" s="13">
        <v>29334000</v>
      </c>
      <c r="T43" s="13">
        <v>35643000</v>
      </c>
      <c r="U43" s="13">
        <v>23930000</v>
      </c>
      <c r="V43" s="13">
        <v>18797000</v>
      </c>
      <c r="W43" s="13">
        <v>15341000</v>
      </c>
      <c r="X43" s="17">
        <v>17641000</v>
      </c>
      <c r="Y43" s="18">
        <v>0</v>
      </c>
      <c r="Z43" s="19">
        <v>0</v>
      </c>
      <c r="AA43" s="19">
        <v>0</v>
      </c>
    </row>
    <row r="44" ht="20.05" customHeight="1" spans="1:27">
      <c r="A44" s="11" t="s">
        <v>68</v>
      </c>
      <c r="B44" s="12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9">
        <v>0</v>
      </c>
      <c r="Y44" s="19">
        <v>0</v>
      </c>
      <c r="Z44" s="19">
        <v>0</v>
      </c>
      <c r="AA44" s="19">
        <v>0</v>
      </c>
    </row>
    <row r="45" ht="20.05" customHeight="1" spans="1:27">
      <c r="A45" s="11" t="s">
        <v>69</v>
      </c>
      <c r="B45" s="12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9">
        <v>0</v>
      </c>
      <c r="Y45" s="19">
        <v>0</v>
      </c>
      <c r="Z45" s="19">
        <v>0</v>
      </c>
      <c r="AA45" s="19">
        <v>0</v>
      </c>
    </row>
    <row r="46" ht="20.05" customHeight="1" spans="1:27">
      <c r="A46" s="11" t="s">
        <v>70</v>
      </c>
      <c r="B46" s="12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9">
        <v>0</v>
      </c>
      <c r="Y46" s="19">
        <v>0</v>
      </c>
      <c r="Z46" s="19">
        <v>0</v>
      </c>
      <c r="AA46" s="19">
        <v>0</v>
      </c>
    </row>
    <row r="47" ht="20.05" customHeight="1" spans="1:27">
      <c r="A47" s="11" t="s">
        <v>71</v>
      </c>
      <c r="B47" s="12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9">
        <v>0</v>
      </c>
      <c r="Y47" s="19">
        <v>0</v>
      </c>
      <c r="Z47" s="19">
        <v>0</v>
      </c>
      <c r="AA47" s="19">
        <v>0</v>
      </c>
    </row>
    <row r="48" ht="20.05" customHeight="1" spans="1:27">
      <c r="A48" s="11" t="s">
        <v>72</v>
      </c>
      <c r="B48" s="12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9">
        <v>0</v>
      </c>
      <c r="Y48" s="19">
        <v>0</v>
      </c>
      <c r="Z48" s="19">
        <v>0</v>
      </c>
      <c r="AA48" s="19">
        <v>0</v>
      </c>
    </row>
    <row r="49" ht="20.05" customHeight="1" spans="1:27">
      <c r="A49" s="11" t="s">
        <v>73</v>
      </c>
      <c r="B49" s="12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9">
        <v>0</v>
      </c>
      <c r="Y49" s="19">
        <v>0</v>
      </c>
      <c r="Z49" s="19">
        <v>0</v>
      </c>
      <c r="AA49" s="19">
        <v>0</v>
      </c>
    </row>
    <row r="50" ht="20.05" customHeight="1" spans="1:27">
      <c r="A50" s="11" t="s">
        <v>74</v>
      </c>
      <c r="B50" s="12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9">
        <v>0</v>
      </c>
      <c r="Y50" s="19">
        <v>0</v>
      </c>
      <c r="Z50" s="19">
        <v>0</v>
      </c>
      <c r="AA50" s="19">
        <v>0</v>
      </c>
    </row>
    <row r="51" ht="20.05" customHeight="1" spans="1:27">
      <c r="A51" s="11" t="s">
        <v>75</v>
      </c>
      <c r="B51" s="12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9">
        <v>0</v>
      </c>
      <c r="Y51" s="19">
        <v>0</v>
      </c>
      <c r="Z51" s="19">
        <v>0</v>
      </c>
      <c r="AA51" s="19">
        <v>0</v>
      </c>
    </row>
    <row r="52" ht="20.05" customHeight="1" spans="1:27">
      <c r="A52" s="11" t="s">
        <v>76</v>
      </c>
      <c r="B52" s="12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9">
        <v>0</v>
      </c>
      <c r="Y52" s="19">
        <v>0</v>
      </c>
      <c r="Z52" s="19">
        <v>0</v>
      </c>
      <c r="AA52" s="19">
        <v>0</v>
      </c>
    </row>
    <row r="53" ht="20.05" customHeight="1" spans="1:27">
      <c r="A53" s="11" t="s">
        <v>77</v>
      </c>
      <c r="B53" s="12">
        <v>129874000</v>
      </c>
      <c r="C53" s="13">
        <v>123203000</v>
      </c>
      <c r="D53" s="13">
        <v>134112000</v>
      </c>
      <c r="E53" s="13">
        <v>137572000</v>
      </c>
      <c r="F53" s="13">
        <v>102491000</v>
      </c>
      <c r="G53" s="13">
        <v>104142000</v>
      </c>
      <c r="H53" s="13">
        <v>123648000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268000</v>
      </c>
      <c r="V53" s="13">
        <v>1196000</v>
      </c>
      <c r="W53" s="13">
        <v>0</v>
      </c>
      <c r="X53" s="19">
        <v>0</v>
      </c>
      <c r="Y53" s="18">
        <v>0</v>
      </c>
      <c r="Z53" s="19">
        <v>0</v>
      </c>
      <c r="AA53" s="19">
        <v>0</v>
      </c>
    </row>
    <row r="54" ht="20.05" customHeight="1" spans="1:27">
      <c r="A54" s="8" t="s">
        <v>78</v>
      </c>
      <c r="B54" s="9">
        <v>69301000</v>
      </c>
      <c r="C54" s="10">
        <v>75598000</v>
      </c>
      <c r="D54" s="10">
        <v>82443000</v>
      </c>
      <c r="E54" s="10">
        <v>78561000</v>
      </c>
      <c r="F54" s="10">
        <v>75387000</v>
      </c>
      <c r="G54" s="10">
        <v>71846000</v>
      </c>
      <c r="H54" s="10">
        <v>66630000</v>
      </c>
      <c r="I54" s="10">
        <v>40557000</v>
      </c>
      <c r="J54" s="10">
        <v>35686000</v>
      </c>
      <c r="K54" s="10">
        <v>27464000</v>
      </c>
      <c r="L54" s="10">
        <v>24165000</v>
      </c>
      <c r="M54" s="10">
        <v>21592000</v>
      </c>
      <c r="N54" s="10">
        <v>20249000</v>
      </c>
      <c r="O54" s="10">
        <v>16978000</v>
      </c>
      <c r="P54" s="10">
        <v>13382000</v>
      </c>
      <c r="Q54" s="10">
        <v>11696000</v>
      </c>
      <c r="R54" s="10">
        <v>18690000</v>
      </c>
      <c r="S54" s="10">
        <v>6100000</v>
      </c>
      <c r="T54" s="10">
        <v>5978000</v>
      </c>
      <c r="U54" s="10">
        <v>7163000</v>
      </c>
      <c r="V54" s="10">
        <v>6374000</v>
      </c>
      <c r="W54" s="10">
        <v>6058000</v>
      </c>
      <c r="X54" s="17">
        <v>25119000</v>
      </c>
      <c r="Y54" s="17">
        <v>0</v>
      </c>
      <c r="Z54" s="19">
        <v>0</v>
      </c>
      <c r="AA54" s="19">
        <v>0</v>
      </c>
    </row>
    <row r="55" ht="20.05" customHeight="1" spans="1:27">
      <c r="A55" s="11" t="s">
        <v>79</v>
      </c>
      <c r="B55" s="12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9">
        <v>0</v>
      </c>
      <c r="Y55" s="19">
        <v>0</v>
      </c>
      <c r="Z55" s="19">
        <v>0</v>
      </c>
      <c r="AA55" s="19">
        <v>0</v>
      </c>
    </row>
    <row r="56" ht="20.05" customHeight="1" spans="1:27">
      <c r="A56" s="11" t="s">
        <v>80</v>
      </c>
      <c r="B56" s="12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9">
        <v>0</v>
      </c>
      <c r="Y56" s="19">
        <v>0</v>
      </c>
      <c r="Z56" s="19">
        <v>0</v>
      </c>
      <c r="AA56" s="19">
        <v>0</v>
      </c>
    </row>
    <row r="57" ht="20.05" customHeight="1" spans="1:27">
      <c r="A57" s="11" t="s">
        <v>81</v>
      </c>
      <c r="B57" s="12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9">
        <v>0</v>
      </c>
      <c r="Y57" s="19">
        <v>0</v>
      </c>
      <c r="Z57" s="19">
        <v>0</v>
      </c>
      <c r="AA57" s="19">
        <v>0</v>
      </c>
    </row>
    <row r="58" ht="20.05" customHeight="1" spans="1:27">
      <c r="A58" s="11" t="s">
        <v>82</v>
      </c>
      <c r="B58" s="12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1353000</v>
      </c>
      <c r="V58" s="13">
        <v>1353000</v>
      </c>
      <c r="W58" s="13">
        <v>1353000</v>
      </c>
      <c r="X58" s="19">
        <v>1353000</v>
      </c>
      <c r="Y58" s="19">
        <v>0</v>
      </c>
      <c r="Z58" s="19">
        <v>0</v>
      </c>
      <c r="AA58" s="19">
        <v>0</v>
      </c>
    </row>
    <row r="59" ht="20.05" customHeight="1" spans="1:27">
      <c r="A59" s="11" t="s">
        <v>83</v>
      </c>
      <c r="B59" s="12">
        <v>15615000</v>
      </c>
      <c r="C59" s="13">
        <v>21687000</v>
      </c>
      <c r="D59" s="13">
        <v>28058000</v>
      </c>
      <c r="E59" s="13">
        <v>27504000</v>
      </c>
      <c r="F59" s="13">
        <v>30199000</v>
      </c>
      <c r="G59" s="13">
        <v>29071000</v>
      </c>
      <c r="H59" s="13">
        <v>26930000</v>
      </c>
      <c r="I59" s="13">
        <v>18685000</v>
      </c>
      <c r="J59" s="13">
        <v>17528000</v>
      </c>
      <c r="K59" s="13">
        <v>13498000</v>
      </c>
      <c r="L59" s="13">
        <v>12903000</v>
      </c>
      <c r="M59" s="13">
        <v>11978000</v>
      </c>
      <c r="N59" s="13">
        <v>11381000</v>
      </c>
      <c r="O59" s="13">
        <v>9847000</v>
      </c>
      <c r="P59" s="13">
        <v>7825000</v>
      </c>
      <c r="Q59" s="13">
        <v>6884000</v>
      </c>
      <c r="R59" s="13">
        <v>5053000</v>
      </c>
      <c r="S59" s="13">
        <v>3622000</v>
      </c>
      <c r="T59" s="13">
        <v>3264000</v>
      </c>
      <c r="U59" s="13">
        <v>3162000</v>
      </c>
      <c r="V59" s="13">
        <v>2914000</v>
      </c>
      <c r="W59" s="13">
        <v>3130000</v>
      </c>
      <c r="X59" s="18">
        <v>2423000</v>
      </c>
      <c r="Y59" s="18">
        <v>0</v>
      </c>
      <c r="Z59" s="19">
        <v>0</v>
      </c>
      <c r="AA59" s="19">
        <v>0</v>
      </c>
    </row>
    <row r="60" ht="20.05" customHeight="1" spans="1:27">
      <c r="A60" s="11" t="s">
        <v>84</v>
      </c>
      <c r="B60" s="12">
        <v>53686000</v>
      </c>
      <c r="C60" s="13">
        <v>53911000</v>
      </c>
      <c r="D60" s="13">
        <v>54385000</v>
      </c>
      <c r="E60" s="13">
        <v>51057000</v>
      </c>
      <c r="F60" s="13">
        <v>45188000</v>
      </c>
      <c r="G60" s="13">
        <v>42775000</v>
      </c>
      <c r="H60" s="13">
        <v>39700000</v>
      </c>
      <c r="I60" s="13">
        <v>21872000</v>
      </c>
      <c r="J60" s="13">
        <v>18158000</v>
      </c>
      <c r="K60" s="13">
        <v>13966000</v>
      </c>
      <c r="L60" s="13">
        <v>11262000</v>
      </c>
      <c r="M60" s="13">
        <v>9614000</v>
      </c>
      <c r="N60" s="13">
        <v>8868000</v>
      </c>
      <c r="O60" s="13">
        <v>7131000</v>
      </c>
      <c r="P60" s="13">
        <v>5557000</v>
      </c>
      <c r="Q60" s="13">
        <v>4812000</v>
      </c>
      <c r="R60" s="13">
        <v>13637000</v>
      </c>
      <c r="S60" s="13">
        <v>2478000</v>
      </c>
      <c r="T60" s="13">
        <v>2714000</v>
      </c>
      <c r="U60" s="13">
        <v>2648000</v>
      </c>
      <c r="V60" s="13">
        <v>2107000</v>
      </c>
      <c r="W60" s="13">
        <v>1575000</v>
      </c>
      <c r="X60" s="17">
        <v>21343000</v>
      </c>
      <c r="Y60" s="17">
        <v>0</v>
      </c>
      <c r="Z60" s="19">
        <v>0</v>
      </c>
      <c r="AA60" s="19">
        <v>0</v>
      </c>
    </row>
    <row r="61" ht="20.05" customHeight="1" spans="1:27">
      <c r="A61" s="11" t="s">
        <v>85</v>
      </c>
      <c r="B61" s="12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9">
        <v>0</v>
      </c>
      <c r="Y61" s="19">
        <v>0</v>
      </c>
      <c r="Z61" s="19">
        <v>0</v>
      </c>
      <c r="AA61" s="19">
        <v>0</v>
      </c>
    </row>
    <row r="62" ht="20.05" customHeight="1" spans="1:27">
      <c r="A62" s="8" t="s">
        <v>86</v>
      </c>
      <c r="B62" s="9">
        <v>947962000</v>
      </c>
      <c r="C62" s="10">
        <v>909873000</v>
      </c>
      <c r="D62" s="10">
        <v>753623000</v>
      </c>
      <c r="E62" s="10">
        <v>752602000</v>
      </c>
      <c r="F62" s="10">
        <v>769270000</v>
      </c>
      <c r="G62" s="10">
        <v>769873000</v>
      </c>
      <c r="H62" s="10">
        <v>791848000</v>
      </c>
      <c r="I62" s="10">
        <v>767041000</v>
      </c>
      <c r="J62" s="10">
        <v>747552000</v>
      </c>
      <c r="K62" s="10">
        <v>735192000</v>
      </c>
      <c r="L62" s="10">
        <v>733945000</v>
      </c>
      <c r="M62" s="10">
        <v>732442000</v>
      </c>
      <c r="N62" s="10">
        <v>707562000</v>
      </c>
      <c r="O62" s="10">
        <v>693486000</v>
      </c>
      <c r="P62" s="10">
        <v>672006000</v>
      </c>
      <c r="Q62" s="10">
        <v>622161000</v>
      </c>
      <c r="R62" s="10">
        <v>610186000</v>
      </c>
      <c r="S62" s="10">
        <v>599851000</v>
      </c>
      <c r="T62" s="10">
        <v>244660000</v>
      </c>
      <c r="U62" s="10">
        <v>214767000</v>
      </c>
      <c r="V62" s="10">
        <v>208000000</v>
      </c>
      <c r="W62" s="10">
        <v>29500000</v>
      </c>
      <c r="X62" s="17">
        <v>9943000</v>
      </c>
      <c r="Y62" s="16">
        <v>0</v>
      </c>
      <c r="Z62" s="16">
        <v>0</v>
      </c>
      <c r="AA62" s="18">
        <v>280600000</v>
      </c>
    </row>
    <row r="63" ht="20.05" customHeight="1" spans="1:27">
      <c r="A63" s="11" t="s">
        <v>87</v>
      </c>
      <c r="B63" s="12">
        <v>1256854000</v>
      </c>
      <c r="C63" s="13">
        <v>1205459000</v>
      </c>
      <c r="D63" s="13">
        <v>1168563000</v>
      </c>
      <c r="E63" s="13">
        <v>1122903000</v>
      </c>
      <c r="F63" s="13">
        <v>1089444000</v>
      </c>
      <c r="G63" s="13">
        <v>1041141000</v>
      </c>
      <c r="H63" s="13">
        <v>1007205000</v>
      </c>
      <c r="I63" s="13">
        <v>965183000</v>
      </c>
      <c r="J63" s="13">
        <v>914554000</v>
      </c>
      <c r="K63" s="13">
        <v>854991000</v>
      </c>
      <c r="L63" s="13">
        <v>805804000</v>
      </c>
      <c r="M63" s="13">
        <v>763742000</v>
      </c>
      <c r="N63" s="13">
        <v>724905000</v>
      </c>
      <c r="O63" s="13">
        <v>691587000</v>
      </c>
      <c r="P63" s="13">
        <v>660668000</v>
      </c>
      <c r="Q63" s="13">
        <v>631521000</v>
      </c>
      <c r="R63" s="13">
        <v>615032000</v>
      </c>
      <c r="S63" s="13">
        <v>600211000</v>
      </c>
      <c r="T63" s="13">
        <v>239406000</v>
      </c>
      <c r="U63" s="13">
        <v>220730000</v>
      </c>
      <c r="V63" s="13">
        <v>216382000</v>
      </c>
      <c r="W63" s="13">
        <v>35322000</v>
      </c>
      <c r="X63" s="17">
        <v>11698000</v>
      </c>
      <c r="Y63" s="17">
        <v>0</v>
      </c>
      <c r="Z63" s="19">
        <v>0</v>
      </c>
      <c r="AA63" s="19">
        <v>0</v>
      </c>
    </row>
    <row r="64" ht="20.05" customHeight="1" spans="1:27">
      <c r="A64" s="11" t="s">
        <v>88</v>
      </c>
      <c r="B64" s="12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9">
        <v>0</v>
      </c>
      <c r="Y64" s="19">
        <v>0</v>
      </c>
      <c r="Z64" s="19">
        <v>0</v>
      </c>
      <c r="AA64" s="19">
        <v>0</v>
      </c>
    </row>
    <row r="65" ht="20.05" customHeight="1" spans="1:27">
      <c r="A65" s="11" t="s">
        <v>89</v>
      </c>
      <c r="B65" s="12">
        <v>8000</v>
      </c>
      <c r="C65" s="13">
        <v>8000</v>
      </c>
      <c r="D65" s="13">
        <v>8000</v>
      </c>
      <c r="E65" s="13">
        <v>8000</v>
      </c>
      <c r="F65" s="13">
        <v>8000</v>
      </c>
      <c r="G65" s="13">
        <v>8000</v>
      </c>
      <c r="H65" s="13">
        <v>8000</v>
      </c>
      <c r="I65" s="13">
        <v>8000</v>
      </c>
      <c r="J65" s="13">
        <v>7000</v>
      </c>
      <c r="K65" s="13">
        <v>7000</v>
      </c>
      <c r="L65" s="13">
        <v>7000</v>
      </c>
      <c r="M65" s="13">
        <v>7000</v>
      </c>
      <c r="N65" s="13">
        <v>7000</v>
      </c>
      <c r="O65" s="13">
        <v>7000</v>
      </c>
      <c r="P65" s="13">
        <v>7000</v>
      </c>
      <c r="Q65" s="13">
        <v>7000</v>
      </c>
      <c r="R65" s="13">
        <v>7000</v>
      </c>
      <c r="S65" s="13">
        <v>7000</v>
      </c>
      <c r="T65" s="13">
        <v>7000</v>
      </c>
      <c r="U65" s="13">
        <v>6000</v>
      </c>
      <c r="V65" s="13">
        <v>6000</v>
      </c>
      <c r="W65" s="13">
        <v>5000</v>
      </c>
      <c r="X65" s="19">
        <v>4000</v>
      </c>
      <c r="Y65" s="19">
        <v>0</v>
      </c>
      <c r="Z65" s="19">
        <v>0</v>
      </c>
      <c r="AA65" s="19">
        <v>0</v>
      </c>
    </row>
    <row r="66" ht="20.05" customHeight="1" spans="1:27">
      <c r="A66" s="11" t="s">
        <v>90</v>
      </c>
      <c r="B66" s="12">
        <v>-297089000</v>
      </c>
      <c r="C66" s="13">
        <v>-285023000</v>
      </c>
      <c r="D66" s="13">
        <v>-402957000</v>
      </c>
      <c r="E66" s="13">
        <v>-361120000</v>
      </c>
      <c r="F66" s="13">
        <v>-314567000</v>
      </c>
      <c r="G66" s="13">
        <v>-272045000</v>
      </c>
      <c r="H66" s="13">
        <v>-216958000</v>
      </c>
      <c r="I66" s="13">
        <v>-195870000</v>
      </c>
      <c r="J66" s="13">
        <v>-165609000</v>
      </c>
      <c r="K66" s="13">
        <v>-118087000</v>
      </c>
      <c r="L66" s="13">
        <v>-72509000</v>
      </c>
      <c r="M66" s="13">
        <v>-31188000</v>
      </c>
      <c r="N66" s="13">
        <v>-17815000</v>
      </c>
      <c r="O66" s="13">
        <v>1164000</v>
      </c>
      <c r="P66" s="13">
        <v>11191000</v>
      </c>
      <c r="Q66" s="13">
        <v>-9516000</v>
      </c>
      <c r="R66" s="13">
        <v>-4885000</v>
      </c>
      <c r="S66" s="13">
        <v>-311000</v>
      </c>
      <c r="T66" s="13">
        <v>5318000</v>
      </c>
      <c r="U66" s="13">
        <v>-5927000</v>
      </c>
      <c r="V66" s="13">
        <v>-8368000</v>
      </c>
      <c r="W66" s="13">
        <v>-5793000</v>
      </c>
      <c r="X66" s="16">
        <v>-1758000</v>
      </c>
      <c r="Y66" s="16">
        <v>0</v>
      </c>
      <c r="Z66" s="19">
        <v>0</v>
      </c>
      <c r="AA66" s="19">
        <v>0</v>
      </c>
    </row>
    <row r="67" ht="20.05" customHeight="1" spans="1:27">
      <c r="A67" s="11" t="s">
        <v>91</v>
      </c>
      <c r="B67" s="12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9">
        <v>0</v>
      </c>
      <c r="Y67" s="19">
        <v>0</v>
      </c>
      <c r="Z67" s="19">
        <v>0</v>
      </c>
      <c r="AA67" s="19">
        <v>0</v>
      </c>
    </row>
    <row r="68" ht="20.05" customHeight="1" spans="1:27">
      <c r="A68" s="11" t="s">
        <v>92</v>
      </c>
      <c r="B68" s="12">
        <v>-11811000</v>
      </c>
      <c r="C68" s="13">
        <v>-10571000</v>
      </c>
      <c r="D68" s="13">
        <v>-11991000</v>
      </c>
      <c r="E68" s="13">
        <v>-9189000</v>
      </c>
      <c r="F68" s="13">
        <v>-5615000</v>
      </c>
      <c r="G68" s="13">
        <v>769000</v>
      </c>
      <c r="H68" s="13">
        <v>1593000</v>
      </c>
      <c r="I68" s="13">
        <v>-2280000</v>
      </c>
      <c r="J68" s="13">
        <v>-1400000</v>
      </c>
      <c r="K68" s="13">
        <v>-1719000</v>
      </c>
      <c r="L68" s="13">
        <v>643000</v>
      </c>
      <c r="M68" s="13">
        <v>-119000</v>
      </c>
      <c r="N68" s="13">
        <v>465000</v>
      </c>
      <c r="O68" s="13">
        <v>728000</v>
      </c>
      <c r="P68" s="13">
        <v>140000</v>
      </c>
      <c r="Q68" s="13">
        <v>149000</v>
      </c>
      <c r="R68" s="13">
        <v>32000</v>
      </c>
      <c r="S68" s="13">
        <v>-56000</v>
      </c>
      <c r="T68" s="13">
        <v>-71000</v>
      </c>
      <c r="U68" s="13">
        <v>-42000</v>
      </c>
      <c r="V68" s="13">
        <v>-37000</v>
      </c>
      <c r="W68" s="13">
        <v>-11000</v>
      </c>
      <c r="X68" s="21">
        <v>-1000</v>
      </c>
      <c r="Y68" s="21">
        <v>0</v>
      </c>
      <c r="Z68" s="19">
        <v>0</v>
      </c>
      <c r="AA68" s="19">
        <v>0</v>
      </c>
    </row>
    <row r="69" ht="20.05" customHeight="1" spans="1:27">
      <c r="A69" s="23"/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25"/>
      <c r="Y69" s="25"/>
      <c r="Z69" s="25"/>
      <c r="AA69" s="25"/>
    </row>
    <row r="70" ht="30.8" customHeight="1" spans="1:27">
      <c r="A70" s="24" t="s">
        <v>93</v>
      </c>
      <c r="B70" s="12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25"/>
      <c r="Y70" s="25"/>
      <c r="Z70" s="25"/>
      <c r="AA70" s="25"/>
    </row>
    <row r="71" ht="20.05" customHeight="1" spans="1:27">
      <c r="A71" s="8" t="s">
        <v>94</v>
      </c>
      <c r="B71" s="9">
        <v>6641000</v>
      </c>
      <c r="C71" s="10">
        <v>52615000</v>
      </c>
      <c r="D71" s="10">
        <v>46674000</v>
      </c>
      <c r="E71" s="10">
        <v>45662000</v>
      </c>
      <c r="F71" s="10">
        <v>50036000</v>
      </c>
      <c r="G71" s="10">
        <v>84495000</v>
      </c>
      <c r="H71" s="10">
        <v>68913000</v>
      </c>
      <c r="I71" s="10">
        <v>45653000</v>
      </c>
      <c r="J71" s="10">
        <v>23015000</v>
      </c>
      <c r="K71" s="10">
        <v>37466000</v>
      </c>
      <c r="L71" s="10">
        <v>53553000</v>
      </c>
      <c r="M71" s="10">
        <v>28170000</v>
      </c>
      <c r="N71" s="10">
        <v>20047000</v>
      </c>
      <c r="O71" s="10">
        <v>35004000</v>
      </c>
      <c r="P71" s="10">
        <v>32509000</v>
      </c>
      <c r="Q71" s="10">
        <v>24472000</v>
      </c>
      <c r="R71" s="10">
        <v>18144000</v>
      </c>
      <c r="S71" s="10">
        <v>14326000</v>
      </c>
      <c r="T71" s="10">
        <v>18646000</v>
      </c>
      <c r="U71" s="10">
        <v>9427000</v>
      </c>
      <c r="V71" s="10">
        <v>5447000</v>
      </c>
      <c r="W71" s="10">
        <v>4205000</v>
      </c>
      <c r="X71" s="17">
        <v>-1076000</v>
      </c>
      <c r="Y71" s="18">
        <v>7342000</v>
      </c>
      <c r="Z71" s="19">
        <v>0</v>
      </c>
      <c r="AA71" s="19">
        <v>0</v>
      </c>
    </row>
    <row r="72" ht="20.05" customHeight="1" spans="1:27">
      <c r="A72" s="8"/>
      <c r="B72" s="9">
        <f>B73+B75+B81+B82+B85+B87+B88+B89</f>
        <v>6361000</v>
      </c>
      <c r="C72" s="9">
        <f>C73+C75+C81+C82+C85+C87+C88+C89</f>
        <v>56723000</v>
      </c>
      <c r="D72" s="9">
        <f>D73+D75+D81+D82+D85+D87+D88+D89</f>
        <v>49239000</v>
      </c>
      <c r="E72" s="9">
        <f>E73+E75+E81+E82+E85+E87+E88+E89</f>
        <v>46191000</v>
      </c>
      <c r="F72" s="9">
        <f>F73+F75+F81+F82+F85+F87+F88+F89</f>
        <v>49699000</v>
      </c>
      <c r="G72" s="9">
        <f>G73+G75+G81+G82+G85+G87+G88+G89</f>
        <v>84367000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7"/>
      <c r="Y72" s="18"/>
      <c r="Z72" s="19"/>
      <c r="AA72" s="19"/>
    </row>
    <row r="73" ht="20.05" customHeight="1" spans="1:27">
      <c r="A73" s="8" t="s">
        <v>95</v>
      </c>
      <c r="B73" s="9">
        <v>-12066000</v>
      </c>
      <c r="C73" s="10">
        <v>-46472000</v>
      </c>
      <c r="D73" s="10">
        <v>-41838000</v>
      </c>
      <c r="E73" s="10">
        <v>-46553000</v>
      </c>
      <c r="F73" s="10">
        <v>-42522000</v>
      </c>
      <c r="G73" s="10">
        <v>-54647000</v>
      </c>
      <c r="H73" s="10">
        <v>-21088000</v>
      </c>
      <c r="I73" s="10">
        <v>-30261000</v>
      </c>
      <c r="J73" s="10">
        <v>-47522000</v>
      </c>
      <c r="K73" s="10">
        <v>-45578000</v>
      </c>
      <c r="L73" s="10">
        <v>-41321000</v>
      </c>
      <c r="M73" s="10">
        <v>-13373000</v>
      </c>
      <c r="N73" s="10">
        <v>-18979000</v>
      </c>
      <c r="O73" s="10">
        <v>-10027000</v>
      </c>
      <c r="P73" s="10">
        <v>20707000</v>
      </c>
      <c r="Q73" s="10">
        <v>-4631000</v>
      </c>
      <c r="R73" s="10">
        <v>-4574000</v>
      </c>
      <c r="S73" s="10">
        <v>-5629000</v>
      </c>
      <c r="T73" s="10">
        <v>11245000</v>
      </c>
      <c r="U73" s="10">
        <v>2441000</v>
      </c>
      <c r="V73" s="10">
        <v>-2575000</v>
      </c>
      <c r="W73" s="10">
        <v>-4035000</v>
      </c>
      <c r="X73" s="17">
        <v>-1056000</v>
      </c>
      <c r="Y73" s="18">
        <v>367000</v>
      </c>
      <c r="Z73" s="19">
        <v>0</v>
      </c>
      <c r="AA73" s="19">
        <v>0</v>
      </c>
    </row>
    <row r="74" ht="20.05" customHeight="1" spans="1:27">
      <c r="A74" s="11" t="s">
        <v>96</v>
      </c>
      <c r="B74" s="12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9">
        <v>0</v>
      </c>
      <c r="Y74" s="19">
        <v>0</v>
      </c>
      <c r="Z74" s="19">
        <v>0</v>
      </c>
      <c r="AA74" s="19">
        <v>0</v>
      </c>
    </row>
    <row r="75" ht="20.05" customHeight="1" spans="1:27">
      <c r="A75" s="11" t="s">
        <v>97</v>
      </c>
      <c r="B75" s="12">
        <v>9403000</v>
      </c>
      <c r="C75" s="13">
        <v>9647000</v>
      </c>
      <c r="D75" s="13">
        <v>10572000</v>
      </c>
      <c r="E75" s="13">
        <v>10337000</v>
      </c>
      <c r="F75" s="13">
        <v>10402000</v>
      </c>
      <c r="G75" s="13">
        <v>13435000</v>
      </c>
      <c r="H75" s="13">
        <v>17915000</v>
      </c>
      <c r="I75" s="13">
        <v>9090000</v>
      </c>
      <c r="J75" s="13">
        <v>8394000</v>
      </c>
      <c r="K75" s="13">
        <v>7607000</v>
      </c>
      <c r="L75" s="13">
        <v>7446000</v>
      </c>
      <c r="M75" s="13">
        <v>6075000</v>
      </c>
      <c r="N75" s="13">
        <v>5347000</v>
      </c>
      <c r="O75" s="13">
        <v>4799000</v>
      </c>
      <c r="P75" s="13">
        <v>4039000</v>
      </c>
      <c r="Q75" s="13">
        <v>3931000</v>
      </c>
      <c r="R75" s="13">
        <v>3022000</v>
      </c>
      <c r="S75" s="13">
        <v>2520000</v>
      </c>
      <c r="T75" s="13">
        <v>2270000</v>
      </c>
      <c r="U75" s="13">
        <v>1842000</v>
      </c>
      <c r="V75" s="13">
        <v>1396000</v>
      </c>
      <c r="W75" s="13">
        <v>1342000</v>
      </c>
      <c r="X75" s="18">
        <v>1190000</v>
      </c>
      <c r="Y75" s="21">
        <v>1035000</v>
      </c>
      <c r="Z75" s="19">
        <v>0</v>
      </c>
      <c r="AA75" s="19">
        <v>0</v>
      </c>
    </row>
    <row r="76" ht="20.05" customHeight="1" spans="1:27">
      <c r="A76" s="11" t="s">
        <v>98</v>
      </c>
      <c r="B76" s="12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9">
        <v>0</v>
      </c>
      <c r="Y76" s="19">
        <v>0</v>
      </c>
      <c r="Z76" s="19">
        <v>0</v>
      </c>
      <c r="AA76" s="19">
        <v>0</v>
      </c>
    </row>
    <row r="77" ht="20.05" customHeight="1" spans="1:27">
      <c r="A77" s="11" t="s">
        <v>99</v>
      </c>
      <c r="B77" s="12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9">
        <v>0</v>
      </c>
      <c r="Y77" s="19">
        <v>0</v>
      </c>
      <c r="Z77" s="19">
        <v>0</v>
      </c>
      <c r="AA77" s="19">
        <v>0</v>
      </c>
    </row>
    <row r="78" ht="20.05" customHeight="1" spans="1:27">
      <c r="A78" s="11" t="s">
        <v>100</v>
      </c>
      <c r="B78" s="12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9">
        <v>0</v>
      </c>
      <c r="Y78" s="19">
        <v>0</v>
      </c>
      <c r="Z78" s="19">
        <v>0</v>
      </c>
      <c r="AA78" s="19">
        <v>0</v>
      </c>
    </row>
    <row r="79" ht="20.05" customHeight="1" spans="1:27">
      <c r="A79" s="11" t="s">
        <v>101</v>
      </c>
      <c r="B79" s="12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9">
        <v>0</v>
      </c>
      <c r="Y79" s="19">
        <v>0</v>
      </c>
      <c r="Z79" s="19">
        <v>0</v>
      </c>
      <c r="AA79" s="19">
        <v>0</v>
      </c>
    </row>
    <row r="80" ht="20.05" customHeight="1" spans="1:27">
      <c r="A80" s="11" t="s">
        <v>102</v>
      </c>
      <c r="B80" s="12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9">
        <v>0</v>
      </c>
      <c r="Y80" s="19">
        <v>0</v>
      </c>
      <c r="Z80" s="19">
        <v>0</v>
      </c>
      <c r="AA80" s="19">
        <v>0</v>
      </c>
    </row>
    <row r="81" ht="20.05" customHeight="1" spans="1:27">
      <c r="A81" s="11" t="s">
        <v>103</v>
      </c>
      <c r="B81" s="12">
        <v>58312000</v>
      </c>
      <c r="C81" s="13">
        <v>55763000</v>
      </c>
      <c r="D81" s="13">
        <v>54660000</v>
      </c>
      <c r="E81" s="13">
        <v>54314000</v>
      </c>
      <c r="F81" s="13">
        <v>52114000</v>
      </c>
      <c r="G81" s="13">
        <v>49195000</v>
      </c>
      <c r="H81" s="13">
        <v>47758000</v>
      </c>
      <c r="I81" s="13">
        <v>47383000</v>
      </c>
      <c r="J81" s="13">
        <v>45371000</v>
      </c>
      <c r="K81" s="13">
        <v>45200000</v>
      </c>
      <c r="L81" s="13">
        <v>37191000</v>
      </c>
      <c r="M81" s="13">
        <v>31573000</v>
      </c>
      <c r="N81" s="13">
        <v>28457000</v>
      </c>
      <c r="O81" s="13">
        <v>22247000</v>
      </c>
      <c r="P81" s="13">
        <v>15494000</v>
      </c>
      <c r="Q81" s="13">
        <v>12513000</v>
      </c>
      <c r="R81" s="13">
        <v>11048000</v>
      </c>
      <c r="S81" s="13">
        <v>7963000</v>
      </c>
      <c r="T81" s="13">
        <v>4924000</v>
      </c>
      <c r="U81" s="13">
        <v>3730000</v>
      </c>
      <c r="V81" s="13">
        <v>3304000</v>
      </c>
      <c r="W81" s="13">
        <v>2499000</v>
      </c>
      <c r="X81" s="21">
        <v>1543000</v>
      </c>
      <c r="Y81" s="21">
        <v>1197000</v>
      </c>
      <c r="Z81" s="19">
        <v>0</v>
      </c>
      <c r="AA81" s="19">
        <v>0</v>
      </c>
    </row>
    <row r="82" ht="20.05" customHeight="1" spans="1:27">
      <c r="A82" s="11" t="s">
        <v>37</v>
      </c>
      <c r="B82" s="12">
        <v>-41522000</v>
      </c>
      <c r="C82" s="13">
        <v>73012000</v>
      </c>
      <c r="D82" s="13">
        <v>-67537000</v>
      </c>
      <c r="E82" s="13">
        <v>7537000</v>
      </c>
      <c r="F82" s="13">
        <v>-4385000</v>
      </c>
      <c r="G82" s="13">
        <v>76878000</v>
      </c>
      <c r="H82" s="13">
        <v>-73047000</v>
      </c>
      <c r="I82" s="13">
        <v>-2974000</v>
      </c>
      <c r="J82" s="13">
        <v>-26166000</v>
      </c>
      <c r="K82" s="13">
        <v>23990000</v>
      </c>
      <c r="L82" s="13">
        <v>-17716000</v>
      </c>
      <c r="M82" s="13">
        <v>-17114000</v>
      </c>
      <c r="N82" s="13">
        <v>-13909000</v>
      </c>
      <c r="O82" s="13">
        <v>14514000</v>
      </c>
      <c r="P82" s="13">
        <v>-33617000</v>
      </c>
      <c r="Q82" s="13">
        <v>-12145000</v>
      </c>
      <c r="R82" s="13">
        <v>-5908000</v>
      </c>
      <c r="S82" s="13">
        <v>10655000</v>
      </c>
      <c r="T82" s="13">
        <v>-17009000</v>
      </c>
      <c r="U82" s="13">
        <v>-10644000</v>
      </c>
      <c r="V82" s="13">
        <v>-5425000</v>
      </c>
      <c r="W82" s="13">
        <v>2590000</v>
      </c>
      <c r="X82" s="21">
        <v>-10451000</v>
      </c>
      <c r="Y82" s="18">
        <v>-2160000</v>
      </c>
      <c r="Z82" s="19">
        <v>0</v>
      </c>
      <c r="AA82" s="19">
        <v>0</v>
      </c>
    </row>
    <row r="83" ht="20.05" customHeight="1" spans="1:27">
      <c r="A83" s="11" t="s">
        <v>42</v>
      </c>
      <c r="B83" s="12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9">
        <v>0</v>
      </c>
      <c r="Y83" s="19">
        <v>0</v>
      </c>
      <c r="Z83" s="19">
        <v>0</v>
      </c>
      <c r="AA83" s="19">
        <v>0</v>
      </c>
    </row>
    <row r="84" ht="20.05" customHeight="1" spans="1:27">
      <c r="A84" s="11" t="s">
        <v>45</v>
      </c>
      <c r="B84" s="12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21">
        <v>0</v>
      </c>
      <c r="Y84" s="21">
        <v>0</v>
      </c>
      <c r="Z84" s="19">
        <v>0</v>
      </c>
      <c r="AA84" s="19">
        <v>0</v>
      </c>
    </row>
    <row r="85" ht="20.05" customHeight="1" spans="1:27">
      <c r="A85" s="11" t="s">
        <v>38</v>
      </c>
      <c r="B85" s="12">
        <v>-22034000</v>
      </c>
      <c r="C85" s="13">
        <v>-22891000</v>
      </c>
      <c r="D85" s="13">
        <v>8192000</v>
      </c>
      <c r="E85" s="13">
        <v>-19657000</v>
      </c>
      <c r="F85" s="13">
        <v>8249000</v>
      </c>
      <c r="G85" s="13">
        <v>11270000</v>
      </c>
      <c r="H85" s="13">
        <v>-8632000</v>
      </c>
      <c r="I85" s="13">
        <v>-9936000</v>
      </c>
      <c r="J85" s="13">
        <v>1876000</v>
      </c>
      <c r="K85" s="13">
        <v>-2295000</v>
      </c>
      <c r="L85" s="13">
        <v>-617000</v>
      </c>
      <c r="M85" s="13">
        <v>-5993000</v>
      </c>
      <c r="N85" s="13">
        <v>-6095000</v>
      </c>
      <c r="O85" s="13">
        <v>-1078000</v>
      </c>
      <c r="P85" s="13">
        <v>-4040000</v>
      </c>
      <c r="Q85" s="13">
        <v>-2455000</v>
      </c>
      <c r="R85" s="13">
        <v>-547000</v>
      </c>
      <c r="S85" s="13">
        <v>92000</v>
      </c>
      <c r="T85" s="13">
        <v>-1946000</v>
      </c>
      <c r="U85" s="13">
        <v>-1013000</v>
      </c>
      <c r="V85" s="13">
        <v>-1252000</v>
      </c>
      <c r="W85" s="13">
        <v>-547000</v>
      </c>
      <c r="X85" s="19">
        <v>89000</v>
      </c>
      <c r="Y85" s="19">
        <v>-892000</v>
      </c>
      <c r="Z85" s="19">
        <v>0</v>
      </c>
      <c r="AA85" s="19">
        <v>0</v>
      </c>
    </row>
    <row r="86" ht="20.05" customHeight="1" spans="1:27">
      <c r="A86" s="11" t="s">
        <v>71</v>
      </c>
      <c r="B86" s="12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8">
        <v>0</v>
      </c>
      <c r="Y86" s="18">
        <v>0</v>
      </c>
      <c r="Z86" s="19">
        <v>0</v>
      </c>
      <c r="AA86" s="19">
        <v>0</v>
      </c>
    </row>
    <row r="87" ht="20.05" customHeight="1" spans="1:27">
      <c r="A87" s="11" t="s">
        <v>104</v>
      </c>
      <c r="B87" s="12">
        <v>-2357000</v>
      </c>
      <c r="C87" s="13">
        <v>-356000</v>
      </c>
      <c r="D87" s="13">
        <v>2502000</v>
      </c>
      <c r="E87" s="13">
        <v>-497000</v>
      </c>
      <c r="F87" s="13">
        <v>-319000</v>
      </c>
      <c r="G87" s="13">
        <v>842000</v>
      </c>
      <c r="H87" s="13">
        <v>480000</v>
      </c>
      <c r="I87" s="13">
        <v>412000</v>
      </c>
      <c r="J87" s="13">
        <v>45000</v>
      </c>
      <c r="K87" s="13">
        <v>60000</v>
      </c>
      <c r="L87" s="13">
        <v>507000</v>
      </c>
      <c r="M87" s="13">
        <v>108000</v>
      </c>
      <c r="N87" s="13">
        <v>15000</v>
      </c>
      <c r="O87" s="13">
        <v>34000</v>
      </c>
      <c r="P87" s="13">
        <v>158000</v>
      </c>
      <c r="Q87" s="13">
        <v>13000</v>
      </c>
      <c r="R87" s="13">
        <v>125000</v>
      </c>
      <c r="S87" s="13">
        <v>-72000</v>
      </c>
      <c r="T87" s="13">
        <v>-154000</v>
      </c>
      <c r="U87" s="13">
        <v>17000</v>
      </c>
      <c r="V87" s="13">
        <v>159000</v>
      </c>
      <c r="W87" s="13">
        <v>40000</v>
      </c>
      <c r="X87" s="19">
        <v>-1157000</v>
      </c>
      <c r="Y87" s="19">
        <v>-709000</v>
      </c>
      <c r="Z87" s="19">
        <v>0</v>
      </c>
      <c r="AA87" s="19">
        <v>0</v>
      </c>
    </row>
    <row r="88" ht="20.05" customHeight="1" spans="1:27">
      <c r="A88" s="11" t="s">
        <v>67</v>
      </c>
      <c r="B88" s="12">
        <v>12942000</v>
      </c>
      <c r="C88" s="13">
        <v>-4279000</v>
      </c>
      <c r="D88" s="13">
        <v>4077000</v>
      </c>
      <c r="E88" s="13">
        <v>25873000</v>
      </c>
      <c r="F88" s="13">
        <v>199000</v>
      </c>
      <c r="G88" s="13">
        <v>-16620000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9">
        <v>0</v>
      </c>
      <c r="Y88" s="19">
        <v>0</v>
      </c>
      <c r="Z88" s="19">
        <v>0</v>
      </c>
      <c r="AA88" s="19">
        <v>0</v>
      </c>
    </row>
    <row r="89" ht="20.05" customHeight="1" spans="1:27">
      <c r="A89" s="11" t="s">
        <v>105</v>
      </c>
      <c r="B89" s="12">
        <v>3683000</v>
      </c>
      <c r="C89" s="13">
        <v>-7701000</v>
      </c>
      <c r="D89" s="13">
        <v>78611000</v>
      </c>
      <c r="E89" s="13">
        <v>14837000</v>
      </c>
      <c r="F89" s="13">
        <v>25961000</v>
      </c>
      <c r="G89" s="13">
        <v>4014000</v>
      </c>
      <c r="H89" s="13">
        <v>105978000</v>
      </c>
      <c r="I89" s="13">
        <v>32171000</v>
      </c>
      <c r="J89" s="13">
        <v>41181000</v>
      </c>
      <c r="K89" s="13">
        <v>8631000</v>
      </c>
      <c r="L89" s="13">
        <v>37314000</v>
      </c>
      <c r="M89" s="13">
        <v>31197000</v>
      </c>
      <c r="N89" s="13">
        <v>25833000</v>
      </c>
      <c r="O89" s="13">
        <v>7410000</v>
      </c>
      <c r="P89" s="13">
        <v>44476000</v>
      </c>
      <c r="Q89" s="13">
        <v>27485000</v>
      </c>
      <c r="R89" s="13">
        <v>15043000</v>
      </c>
      <c r="S89" s="13">
        <v>-1255000</v>
      </c>
      <c r="T89" s="13">
        <v>27714000</v>
      </c>
      <c r="U89" s="13">
        <v>12923000</v>
      </c>
      <c r="V89" s="13">
        <v>9902000</v>
      </c>
      <c r="W89" s="13">
        <v>2277000</v>
      </c>
      <c r="X89" s="18">
        <v>8055000</v>
      </c>
      <c r="Y89" s="26">
        <v>8483000</v>
      </c>
      <c r="Z89" s="19">
        <v>0</v>
      </c>
      <c r="AA89" s="19">
        <v>0</v>
      </c>
    </row>
    <row r="90" ht="20.05" customHeight="1" spans="1:27">
      <c r="A90" s="11" t="s">
        <v>106</v>
      </c>
      <c r="B90" s="12">
        <v>0</v>
      </c>
      <c r="C90" s="13">
        <v>0</v>
      </c>
      <c r="D90" s="13">
        <v>0</v>
      </c>
      <c r="E90" s="13">
        <v>162000</v>
      </c>
      <c r="F90" s="13">
        <v>0</v>
      </c>
      <c r="G90" s="13">
        <v>0</v>
      </c>
      <c r="H90" s="13">
        <v>-1388000</v>
      </c>
      <c r="I90" s="13">
        <v>-275000</v>
      </c>
      <c r="J90" s="13">
        <v>-304000</v>
      </c>
      <c r="K90" s="13">
        <v>-248000</v>
      </c>
      <c r="L90" s="13">
        <v>-941000</v>
      </c>
      <c r="M90" s="13">
        <v>-4055000</v>
      </c>
      <c r="N90" s="13">
        <v>-309000</v>
      </c>
      <c r="O90" s="13">
        <v>-324000</v>
      </c>
      <c r="P90" s="13">
        <v>-10277000</v>
      </c>
      <c r="Q90" s="13">
        <v>-595000</v>
      </c>
      <c r="R90" s="13">
        <v>140000</v>
      </c>
      <c r="S90" s="13">
        <v>-3329000</v>
      </c>
      <c r="T90" s="13">
        <v>-4645000</v>
      </c>
      <c r="U90" s="13">
        <v>-314000</v>
      </c>
      <c r="V90" s="13">
        <v>-254000</v>
      </c>
      <c r="W90" s="13">
        <v>-25000</v>
      </c>
      <c r="X90" s="19">
        <v>410000</v>
      </c>
      <c r="Y90" s="19">
        <v>21000</v>
      </c>
      <c r="Z90" s="19">
        <v>0</v>
      </c>
      <c r="AA90" s="19">
        <v>0</v>
      </c>
    </row>
    <row r="91" ht="20.05" customHeight="1" spans="1:27">
      <c r="A91" s="11" t="s">
        <v>107</v>
      </c>
      <c r="B91" s="12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9">
        <v>0</v>
      </c>
      <c r="Y91" s="19">
        <v>0</v>
      </c>
      <c r="Z91" s="19">
        <v>0</v>
      </c>
      <c r="AA91" s="19">
        <v>0</v>
      </c>
    </row>
    <row r="92" ht="20.05" customHeight="1" spans="1:27">
      <c r="A92" s="11" t="s">
        <v>108</v>
      </c>
      <c r="B92" s="12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9">
        <v>0</v>
      </c>
      <c r="Y92" s="19">
        <v>0</v>
      </c>
      <c r="Z92" s="19">
        <v>0</v>
      </c>
      <c r="AA92" s="19">
        <v>0</v>
      </c>
    </row>
    <row r="93" ht="20.05" customHeight="1" spans="1:27">
      <c r="A93" s="8" t="s">
        <v>109</v>
      </c>
      <c r="B93" s="9">
        <v>-8613000</v>
      </c>
      <c r="C93" s="10">
        <v>-30217000</v>
      </c>
      <c r="D93" s="10">
        <v>-196673000</v>
      </c>
      <c r="E93" s="10">
        <v>-231429000</v>
      </c>
      <c r="F93" s="10">
        <v>-10622000</v>
      </c>
      <c r="G93" s="10">
        <v>-23238000</v>
      </c>
      <c r="H93" s="10">
        <v>-18398000</v>
      </c>
      <c r="I93" s="10">
        <v>-18882000</v>
      </c>
      <c r="J93" s="10">
        <v>-9799000</v>
      </c>
      <c r="K93" s="10">
        <v>-30052000</v>
      </c>
      <c r="L93" s="10">
        <v>-12338000</v>
      </c>
      <c r="M93" s="10">
        <v>-14675000</v>
      </c>
      <c r="N93" s="10">
        <v>-11497000</v>
      </c>
      <c r="O93" s="10">
        <v>-7620000</v>
      </c>
      <c r="P93" s="10">
        <v>-10160000</v>
      </c>
      <c r="Q93" s="10">
        <v>-10416000</v>
      </c>
      <c r="R93" s="10">
        <v>-10770000</v>
      </c>
      <c r="S93" s="10">
        <v>-3708000</v>
      </c>
      <c r="T93" s="10">
        <v>-6092000</v>
      </c>
      <c r="U93" s="10">
        <v>-5171000</v>
      </c>
      <c r="V93" s="10">
        <v>-3306000</v>
      </c>
      <c r="W93" s="10">
        <v>-3038000</v>
      </c>
      <c r="X93" s="17">
        <v>-1575000</v>
      </c>
      <c r="Y93" s="18">
        <v>-2225000</v>
      </c>
      <c r="Z93" s="19">
        <v>0</v>
      </c>
      <c r="AA93" s="19">
        <v>0</v>
      </c>
    </row>
    <row r="94" ht="20.05" customHeight="1" spans="1:27">
      <c r="A94" s="11" t="s">
        <v>110</v>
      </c>
      <c r="B94" s="12">
        <v>-5825000</v>
      </c>
      <c r="C94" s="13">
        <v>-5251000</v>
      </c>
      <c r="D94" s="13">
        <v>-18644000</v>
      </c>
      <c r="E94" s="13">
        <v>-9319000</v>
      </c>
      <c r="F94" s="13">
        <v>-10622000</v>
      </c>
      <c r="G94" s="13">
        <v>-23238000</v>
      </c>
      <c r="H94" s="13">
        <v>-18398000</v>
      </c>
      <c r="I94" s="13">
        <v>-18882000</v>
      </c>
      <c r="J94" s="13">
        <v>-9799000</v>
      </c>
      <c r="K94" s="13">
        <v>-13653000</v>
      </c>
      <c r="L94" s="13">
        <v>-12338000</v>
      </c>
      <c r="M94" s="13">
        <v>-13675000</v>
      </c>
      <c r="N94" s="13">
        <v>-11497000</v>
      </c>
      <c r="O94" s="13">
        <v>-7620000</v>
      </c>
      <c r="P94" s="13">
        <v>-10160000</v>
      </c>
      <c r="Q94" s="13">
        <v>-12110000</v>
      </c>
      <c r="R94" s="13">
        <v>-10770000</v>
      </c>
      <c r="S94" s="13">
        <v>-3708000</v>
      </c>
      <c r="T94" s="13">
        <v>-6092000</v>
      </c>
      <c r="U94" s="13">
        <v>-5171000</v>
      </c>
      <c r="V94" s="13">
        <v>-3306000</v>
      </c>
      <c r="W94" s="13">
        <v>-3038000</v>
      </c>
      <c r="X94" s="18">
        <v>-1575000</v>
      </c>
      <c r="Y94" s="19">
        <v>0</v>
      </c>
      <c r="Z94" s="19">
        <v>0</v>
      </c>
      <c r="AA94" s="19">
        <v>0</v>
      </c>
    </row>
    <row r="95" ht="20.05" customHeight="1" spans="1:27">
      <c r="A95" s="11" t="s">
        <v>111</v>
      </c>
      <c r="B95" s="12">
        <v>0</v>
      </c>
      <c r="C95" s="13">
        <v>0</v>
      </c>
      <c r="D95" s="13">
        <v>0</v>
      </c>
      <c r="E95" s="13">
        <v>-23966000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-16399000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21">
        <v>0</v>
      </c>
      <c r="Y95" s="19">
        <v>0</v>
      </c>
      <c r="Z95" s="19">
        <v>0</v>
      </c>
      <c r="AA95" s="19">
        <v>0</v>
      </c>
    </row>
    <row r="96" ht="20.05" customHeight="1" spans="1:27">
      <c r="A96" s="11" t="s">
        <v>112</v>
      </c>
      <c r="B96" s="12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9">
        <v>0</v>
      </c>
      <c r="Y96" s="19">
        <v>0</v>
      </c>
      <c r="Z96" s="19">
        <v>0</v>
      </c>
      <c r="AA96" s="19">
        <v>0</v>
      </c>
    </row>
    <row r="97" ht="20.05" customHeight="1" spans="1:27">
      <c r="A97" s="11" t="s">
        <v>113</v>
      </c>
      <c r="B97" s="12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9">
        <v>0</v>
      </c>
      <c r="Y97" s="19">
        <v>0</v>
      </c>
      <c r="Z97" s="19">
        <v>0</v>
      </c>
      <c r="AA97" s="19">
        <v>0</v>
      </c>
    </row>
    <row r="98" ht="20.05" customHeight="1" spans="1:27">
      <c r="A98" s="11" t="s">
        <v>114</v>
      </c>
      <c r="B98" s="12">
        <v>-54141000</v>
      </c>
      <c r="C98" s="13">
        <v>-102450000</v>
      </c>
      <c r="D98" s="13">
        <v>-223575000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7">
        <v>0</v>
      </c>
      <c r="Y98" s="17">
        <v>0</v>
      </c>
      <c r="Z98" s="19">
        <v>0</v>
      </c>
      <c r="AA98" s="19">
        <v>0</v>
      </c>
    </row>
    <row r="99" ht="20.05" customHeight="1" spans="1:27">
      <c r="A99" s="11" t="s">
        <v>115</v>
      </c>
      <c r="B99" s="12">
        <v>62300000</v>
      </c>
      <c r="C99" s="13">
        <v>77484000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7">
        <v>0</v>
      </c>
      <c r="Y99" s="17">
        <v>0</v>
      </c>
      <c r="Z99" s="19">
        <v>0</v>
      </c>
      <c r="AA99" s="19">
        <v>0</v>
      </c>
    </row>
    <row r="100" ht="20.05" customHeight="1" spans="1:27">
      <c r="A100" s="11" t="s">
        <v>116</v>
      </c>
      <c r="B100" s="12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21">
        <v>0</v>
      </c>
      <c r="Y100" s="26">
        <v>0</v>
      </c>
      <c r="Z100" s="19">
        <v>0</v>
      </c>
      <c r="AA100" s="19">
        <v>0</v>
      </c>
    </row>
    <row r="101" ht="20.05" customHeight="1" spans="1:27">
      <c r="A101" s="11" t="s">
        <v>117</v>
      </c>
      <c r="B101" s="12">
        <v>-10947000</v>
      </c>
      <c r="C101" s="13">
        <v>0</v>
      </c>
      <c r="D101" s="13">
        <v>45546000</v>
      </c>
      <c r="E101" s="13">
        <v>-198144000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-1000000</v>
      </c>
      <c r="N101" s="13">
        <v>0</v>
      </c>
      <c r="O101" s="13">
        <v>0</v>
      </c>
      <c r="P101" s="13">
        <v>0</v>
      </c>
      <c r="Q101" s="13">
        <v>1694000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22">
        <v>0</v>
      </c>
      <c r="Y101" s="26">
        <v>0</v>
      </c>
      <c r="Z101" s="19">
        <v>0</v>
      </c>
      <c r="AA101" s="19">
        <v>0</v>
      </c>
    </row>
    <row r="102" ht="20.05" customHeight="1" spans="1:27">
      <c r="A102" s="8" t="s">
        <v>118</v>
      </c>
      <c r="B102" s="9">
        <v>-6917000</v>
      </c>
      <c r="C102" s="10">
        <v>-27515000</v>
      </c>
      <c r="D102" s="10">
        <v>-5454000</v>
      </c>
      <c r="E102" s="10">
        <v>-17313000</v>
      </c>
      <c r="F102" s="10">
        <v>-2669000</v>
      </c>
      <c r="G102" s="10">
        <v>-15699000</v>
      </c>
      <c r="H102" s="10">
        <v>-5468000</v>
      </c>
      <c r="I102" s="10">
        <v>3438000</v>
      </c>
      <c r="J102" s="10">
        <v>14352000</v>
      </c>
      <c r="K102" s="10">
        <v>4240000</v>
      </c>
      <c r="L102" s="10">
        <v>4948000</v>
      </c>
      <c r="M102" s="10">
        <v>7265000</v>
      </c>
      <c r="N102" s="10">
        <v>4861000</v>
      </c>
      <c r="O102" s="10">
        <v>8672000</v>
      </c>
      <c r="P102" s="10">
        <v>13740000</v>
      </c>
      <c r="Q102" s="10">
        <v>3918000</v>
      </c>
      <c r="R102" s="10">
        <v>3439000</v>
      </c>
      <c r="S102" s="10">
        <v>353192000</v>
      </c>
      <c r="T102" s="10">
        <v>13752000</v>
      </c>
      <c r="U102" s="10">
        <v>615000</v>
      </c>
      <c r="V102" s="10">
        <v>178809000</v>
      </c>
      <c r="W102" s="10">
        <v>45000</v>
      </c>
      <c r="X102" s="18">
        <v>1593000</v>
      </c>
      <c r="Y102" s="19">
        <v>0</v>
      </c>
      <c r="Z102" s="19">
        <v>0</v>
      </c>
      <c r="AA102" s="19">
        <v>0</v>
      </c>
    </row>
    <row r="103" ht="20.05" customHeight="1" spans="1:27">
      <c r="A103" s="11" t="s">
        <v>119</v>
      </c>
      <c r="B103" s="12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9">
        <v>0</v>
      </c>
      <c r="Y103" s="19">
        <v>0</v>
      </c>
      <c r="Z103" s="19">
        <v>0</v>
      </c>
      <c r="AA103" s="19">
        <v>0</v>
      </c>
    </row>
    <row r="104" ht="20.05" customHeight="1" spans="1:27">
      <c r="A104" s="11" t="s">
        <v>120</v>
      </c>
      <c r="B104" s="12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9">
        <v>0</v>
      </c>
      <c r="Y104" s="19">
        <v>0</v>
      </c>
      <c r="Z104" s="19">
        <v>0</v>
      </c>
      <c r="AA104" s="19">
        <v>0</v>
      </c>
    </row>
    <row r="105" ht="20.05" customHeight="1" spans="1:27">
      <c r="A105" s="11" t="s">
        <v>121</v>
      </c>
      <c r="B105" s="12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9">
        <v>0</v>
      </c>
      <c r="Y105" s="19">
        <v>0</v>
      </c>
      <c r="Z105" s="19">
        <v>0</v>
      </c>
      <c r="AA105" s="19">
        <v>0</v>
      </c>
    </row>
    <row r="106" ht="20.05" customHeight="1" spans="1:27">
      <c r="A106" s="11" t="s">
        <v>122</v>
      </c>
      <c r="B106" s="12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9">
        <v>0</v>
      </c>
      <c r="Y106" s="19">
        <v>0</v>
      </c>
      <c r="Z106" s="19">
        <v>0</v>
      </c>
      <c r="AA106" s="19">
        <v>0</v>
      </c>
    </row>
    <row r="107" ht="20.05" customHeight="1" spans="1:27">
      <c r="A107" s="11" t="s">
        <v>123</v>
      </c>
      <c r="B107" s="12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9">
        <v>0</v>
      </c>
      <c r="Y107" s="19">
        <v>0</v>
      </c>
      <c r="Z107" s="19">
        <v>0</v>
      </c>
      <c r="AA107" s="19">
        <v>0</v>
      </c>
    </row>
    <row r="108" ht="20.05" customHeight="1" spans="1:27">
      <c r="A108" s="11" t="s">
        <v>124</v>
      </c>
      <c r="B108" s="12">
        <v>23089000</v>
      </c>
      <c r="C108" s="13">
        <v>2492000</v>
      </c>
      <c r="D108" s="13">
        <v>14551000</v>
      </c>
      <c r="E108" s="13">
        <v>2659000</v>
      </c>
      <c r="F108" s="13">
        <v>17337000</v>
      </c>
      <c r="G108" s="13">
        <v>4309000</v>
      </c>
      <c r="H108" s="13">
        <v>13153000</v>
      </c>
      <c r="I108" s="13">
        <v>3163000</v>
      </c>
      <c r="J108" s="13">
        <v>14048000</v>
      </c>
      <c r="K108" s="13">
        <v>3992000</v>
      </c>
      <c r="L108" s="13">
        <v>4007000</v>
      </c>
      <c r="M108" s="13">
        <v>3210000</v>
      </c>
      <c r="N108" s="13">
        <v>4552000</v>
      </c>
      <c r="O108" s="13">
        <v>8348000</v>
      </c>
      <c r="P108" s="13">
        <v>3437000</v>
      </c>
      <c r="Q108" s="13">
        <v>3306000</v>
      </c>
      <c r="R108" s="13">
        <v>3622000</v>
      </c>
      <c r="S108" s="13">
        <v>349863000</v>
      </c>
      <c r="T108" s="13">
        <v>8850000</v>
      </c>
      <c r="U108" s="13">
        <v>100000</v>
      </c>
      <c r="V108" s="13">
        <v>177494000</v>
      </c>
      <c r="W108" s="13">
        <v>1052000</v>
      </c>
      <c r="X108" s="22">
        <v>322000</v>
      </c>
      <c r="Y108" s="21">
        <v>80000</v>
      </c>
      <c r="Z108" s="19">
        <v>0</v>
      </c>
      <c r="AA108" s="19">
        <v>0</v>
      </c>
    </row>
    <row r="109" ht="20.05" customHeight="1" spans="1:27">
      <c r="A109" s="11" t="s">
        <v>125</v>
      </c>
      <c r="B109" s="12">
        <v>-30006000</v>
      </c>
      <c r="C109" s="13">
        <v>-30007000</v>
      </c>
      <c r="D109" s="13">
        <v>-20005000</v>
      </c>
      <c r="E109" s="13">
        <v>-19972000</v>
      </c>
      <c r="F109" s="13">
        <v>-20006000</v>
      </c>
      <c r="G109" s="13">
        <v>-20008000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21">
        <v>0</v>
      </c>
      <c r="Y109" s="19">
        <v>0</v>
      </c>
      <c r="Z109" s="19">
        <v>0</v>
      </c>
      <c r="AA109" s="19">
        <v>0</v>
      </c>
    </row>
    <row r="110" ht="20.05" customHeight="1" spans="1:27">
      <c r="A110" s="11" t="s">
        <v>126</v>
      </c>
      <c r="B110" s="12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9">
        <v>0</v>
      </c>
      <c r="Y110" s="19">
        <v>0</v>
      </c>
      <c r="Z110" s="19">
        <v>0</v>
      </c>
      <c r="AA110" s="19">
        <v>0</v>
      </c>
    </row>
    <row r="111" ht="20.05" customHeight="1" spans="1:27">
      <c r="A111" s="11" t="s">
        <v>127</v>
      </c>
      <c r="B111" s="12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9">
        <v>0</v>
      </c>
      <c r="Y111" s="19">
        <v>0</v>
      </c>
      <c r="Z111" s="19">
        <v>0</v>
      </c>
      <c r="AA111" s="19">
        <v>0</v>
      </c>
    </row>
    <row r="112" ht="20.05" customHeight="1" spans="1:27">
      <c r="A112" s="11" t="s">
        <v>128</v>
      </c>
      <c r="B112" s="12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8">
        <v>0</v>
      </c>
      <c r="Y112" s="19">
        <v>0</v>
      </c>
      <c r="Z112" s="19">
        <v>0</v>
      </c>
      <c r="AA112" s="19">
        <v>0</v>
      </c>
    </row>
    <row r="113" ht="20.05" customHeight="1" spans="1:27">
      <c r="A113" s="11" t="s">
        <v>129</v>
      </c>
      <c r="B113" s="12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-20009000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1050000</v>
      </c>
      <c r="W113" s="13">
        <v>-1050000</v>
      </c>
      <c r="X113" s="22">
        <v>-271000</v>
      </c>
      <c r="Y113" s="18">
        <v>0</v>
      </c>
      <c r="Z113" s="19">
        <v>0</v>
      </c>
      <c r="AA113" s="19">
        <v>0</v>
      </c>
    </row>
    <row r="114" ht="20.05" customHeight="1" spans="1:27">
      <c r="A114" s="11" t="s">
        <v>130</v>
      </c>
      <c r="B114" s="12">
        <v>-4014000</v>
      </c>
      <c r="C114" s="13">
        <v>1233000</v>
      </c>
      <c r="D114" s="13">
        <v>-7614000</v>
      </c>
      <c r="E114" s="13">
        <v>1121000</v>
      </c>
      <c r="F114" s="13">
        <v>1510000</v>
      </c>
      <c r="G114" s="13">
        <v>374000</v>
      </c>
      <c r="H114" s="13">
        <v>-923000</v>
      </c>
      <c r="I114" s="13">
        <v>-363000</v>
      </c>
      <c r="J114" s="13">
        <v>-823000</v>
      </c>
      <c r="K114" s="13">
        <v>448000</v>
      </c>
      <c r="L114" s="13">
        <v>-454000</v>
      </c>
      <c r="M114" s="13">
        <v>-75000</v>
      </c>
      <c r="N114" s="13">
        <v>431000</v>
      </c>
      <c r="O114" s="13">
        <v>-1005000</v>
      </c>
      <c r="P114" s="13">
        <v>8000</v>
      </c>
      <c r="Q114" s="13">
        <v>-772000</v>
      </c>
      <c r="R114" s="13">
        <v>-7000</v>
      </c>
      <c r="S114" s="13">
        <v>24000</v>
      </c>
      <c r="T114" s="13">
        <v>31000</v>
      </c>
      <c r="U114" s="13">
        <v>55000</v>
      </c>
      <c r="V114" s="13">
        <v>-19000</v>
      </c>
      <c r="W114" s="13">
        <v>-34000</v>
      </c>
      <c r="X114" s="19">
        <v>0</v>
      </c>
      <c r="Y114" s="19">
        <v>0</v>
      </c>
      <c r="Z114" s="19">
        <v>0</v>
      </c>
      <c r="AA114" s="19">
        <v>0</v>
      </c>
    </row>
    <row r="115" ht="20.05" customHeight="1" spans="1:27">
      <c r="A115" s="11" t="s">
        <v>131</v>
      </c>
      <c r="B115" s="12">
        <v>-12903000</v>
      </c>
      <c r="C115" s="13">
        <v>-3884000</v>
      </c>
      <c r="D115" s="13">
        <v>-163067000</v>
      </c>
      <c r="E115" s="13">
        <v>-201959000</v>
      </c>
      <c r="F115" s="13">
        <v>38255000</v>
      </c>
      <c r="G115" s="13">
        <v>45932000</v>
      </c>
      <c r="H115" s="13">
        <v>44124000</v>
      </c>
      <c r="I115" s="13">
        <v>29846000</v>
      </c>
      <c r="J115" s="13">
        <v>26745000</v>
      </c>
      <c r="K115" s="13">
        <v>12102000</v>
      </c>
      <c r="L115" s="13">
        <v>45709000</v>
      </c>
      <c r="M115" s="13">
        <v>20685000</v>
      </c>
      <c r="N115" s="13">
        <v>13842000</v>
      </c>
      <c r="O115" s="13">
        <v>35051000</v>
      </c>
      <c r="P115" s="13">
        <v>36097000</v>
      </c>
      <c r="Q115" s="13">
        <v>17202000</v>
      </c>
      <c r="R115" s="13">
        <v>10806000</v>
      </c>
      <c r="S115" s="13">
        <v>363834000</v>
      </c>
      <c r="T115" s="13">
        <v>26337000</v>
      </c>
      <c r="U115" s="13">
        <v>4926000</v>
      </c>
      <c r="V115" s="13">
        <v>180931000</v>
      </c>
      <c r="W115" s="13">
        <v>1178000</v>
      </c>
      <c r="X115" s="18">
        <v>-1058000</v>
      </c>
      <c r="Y115" s="18">
        <v>5197000</v>
      </c>
      <c r="Z115" s="19">
        <v>0</v>
      </c>
      <c r="AA115" s="19">
        <v>0</v>
      </c>
    </row>
    <row r="116" ht="20.05" customHeight="1" spans="1:27">
      <c r="A116" s="11" t="s">
        <v>132</v>
      </c>
      <c r="B116" s="12">
        <v>6641000</v>
      </c>
      <c r="C116" s="13">
        <v>52615000</v>
      </c>
      <c r="D116" s="13">
        <v>46674000</v>
      </c>
      <c r="E116" s="13">
        <v>45662000</v>
      </c>
      <c r="F116" s="13">
        <v>50036000</v>
      </c>
      <c r="G116" s="13">
        <v>84495000</v>
      </c>
      <c r="H116" s="13">
        <v>68913000</v>
      </c>
      <c r="I116" s="13">
        <v>45653000</v>
      </c>
      <c r="J116" s="13">
        <v>23015000</v>
      </c>
      <c r="K116" s="13">
        <v>37466000</v>
      </c>
      <c r="L116" s="13">
        <v>53553000</v>
      </c>
      <c r="M116" s="13">
        <v>28170000</v>
      </c>
      <c r="N116" s="13">
        <v>20047000</v>
      </c>
      <c r="O116" s="13">
        <v>35004000</v>
      </c>
      <c r="P116" s="13">
        <v>32509000</v>
      </c>
      <c r="Q116" s="13">
        <v>24472000</v>
      </c>
      <c r="R116" s="13">
        <v>18144000</v>
      </c>
      <c r="S116" s="13">
        <v>14326000</v>
      </c>
      <c r="T116" s="13">
        <v>18646000</v>
      </c>
      <c r="U116" s="13">
        <v>9427000</v>
      </c>
      <c r="V116" s="13">
        <v>5447000</v>
      </c>
      <c r="W116" s="13">
        <v>4205000</v>
      </c>
      <c r="X116" s="17">
        <v>-1076000</v>
      </c>
      <c r="Y116" s="18">
        <v>7342000</v>
      </c>
      <c r="Z116" s="19">
        <v>0</v>
      </c>
      <c r="AA116" s="19">
        <v>0</v>
      </c>
    </row>
    <row r="117" ht="20.05" customHeight="1" spans="1:27">
      <c r="A117" s="11" t="s">
        <v>133</v>
      </c>
      <c r="B117" s="12">
        <v>-5825000</v>
      </c>
      <c r="C117" s="13">
        <v>-5251000</v>
      </c>
      <c r="D117" s="13">
        <v>-18644000</v>
      </c>
      <c r="E117" s="13">
        <v>-9319000</v>
      </c>
      <c r="F117" s="13">
        <v>-10622000</v>
      </c>
      <c r="G117" s="13">
        <v>-23238000</v>
      </c>
      <c r="H117" s="13">
        <v>-18398000</v>
      </c>
      <c r="I117" s="13">
        <v>-18882000</v>
      </c>
      <c r="J117" s="13">
        <v>-9799000</v>
      </c>
      <c r="K117" s="13">
        <v>-13653000</v>
      </c>
      <c r="L117" s="13">
        <v>-12338000</v>
      </c>
      <c r="M117" s="13">
        <v>-13675000</v>
      </c>
      <c r="N117" s="13">
        <v>-11497000</v>
      </c>
      <c r="O117" s="13">
        <v>-7620000</v>
      </c>
      <c r="P117" s="13">
        <v>-10160000</v>
      </c>
      <c r="Q117" s="13">
        <v>-12110000</v>
      </c>
      <c r="R117" s="13">
        <v>-10770000</v>
      </c>
      <c r="S117" s="13">
        <v>-3708000</v>
      </c>
      <c r="T117" s="13">
        <v>-6092000</v>
      </c>
      <c r="U117" s="13">
        <v>-5171000</v>
      </c>
      <c r="V117" s="13">
        <v>-3306000</v>
      </c>
      <c r="W117" s="13">
        <v>-3038000</v>
      </c>
      <c r="X117" s="18">
        <v>-1575000</v>
      </c>
      <c r="Y117" s="18">
        <v>-2225000</v>
      </c>
      <c r="Z117" s="19">
        <v>0</v>
      </c>
      <c r="AA117" s="19">
        <v>0</v>
      </c>
    </row>
    <row r="118" ht="20.05" customHeight="1" spans="1:27">
      <c r="A118" s="8" t="s">
        <v>134</v>
      </c>
      <c r="B118" s="9">
        <v>816000</v>
      </c>
      <c r="C118" s="10">
        <v>47364000</v>
      </c>
      <c r="D118" s="10">
        <v>28030000</v>
      </c>
      <c r="E118" s="10">
        <v>36343000</v>
      </c>
      <c r="F118" s="10">
        <v>39414000</v>
      </c>
      <c r="G118" s="10">
        <v>61257000</v>
      </c>
      <c r="H118" s="10">
        <v>50515000</v>
      </c>
      <c r="I118" s="10">
        <v>26771000</v>
      </c>
      <c r="J118" s="10">
        <v>13216000</v>
      </c>
      <c r="K118" s="10">
        <v>23813000</v>
      </c>
      <c r="L118" s="10">
        <v>41215000</v>
      </c>
      <c r="M118" s="10">
        <v>14495000</v>
      </c>
      <c r="N118" s="10">
        <v>8550000</v>
      </c>
      <c r="O118" s="10">
        <v>27384000</v>
      </c>
      <c r="P118" s="10">
        <v>22349000</v>
      </c>
      <c r="Q118" s="10">
        <v>12362000</v>
      </c>
      <c r="R118" s="10">
        <v>7374000</v>
      </c>
      <c r="S118" s="10">
        <v>10618000</v>
      </c>
      <c r="T118" s="10">
        <v>12554000</v>
      </c>
      <c r="U118" s="10">
        <v>4256000</v>
      </c>
      <c r="V118" s="10">
        <v>2141000</v>
      </c>
      <c r="W118" s="10">
        <v>1167000</v>
      </c>
      <c r="X118" s="17">
        <v>-2651000</v>
      </c>
      <c r="Y118" s="18">
        <v>5117000</v>
      </c>
      <c r="Z118" s="19">
        <v>0</v>
      </c>
      <c r="AA118" s="19">
        <v>0</v>
      </c>
    </row>
    <row r="119" ht="20.05" customHeight="1" spans="1:27">
      <c r="A119" s="8" t="s">
        <v>135</v>
      </c>
      <c r="B119" s="9">
        <v>623994000</v>
      </c>
      <c r="C119" s="10">
        <v>627878000</v>
      </c>
      <c r="D119" s="10">
        <v>790945000</v>
      </c>
      <c r="E119" s="10">
        <v>992904000</v>
      </c>
      <c r="F119" s="10">
        <v>954649000</v>
      </c>
      <c r="G119" s="10">
        <v>908717000</v>
      </c>
      <c r="H119" s="10">
        <v>864593000</v>
      </c>
      <c r="I119" s="10">
        <v>834747000</v>
      </c>
      <c r="J119" s="10">
        <v>808002000</v>
      </c>
      <c r="K119" s="10">
        <v>795900000</v>
      </c>
      <c r="L119" s="10">
        <v>750191000</v>
      </c>
      <c r="M119" s="10">
        <v>729506000</v>
      </c>
      <c r="N119" s="10">
        <v>715664000</v>
      </c>
      <c r="O119" s="10">
        <v>680613000</v>
      </c>
      <c r="P119" s="10">
        <v>644516000</v>
      </c>
      <c r="Q119" s="10">
        <v>627314000</v>
      </c>
      <c r="R119" s="10">
        <v>616508000</v>
      </c>
      <c r="S119" s="10">
        <v>252674000</v>
      </c>
      <c r="T119" s="10">
        <v>226337000</v>
      </c>
      <c r="U119" s="10">
        <v>221411000</v>
      </c>
      <c r="V119" s="10">
        <v>40480000</v>
      </c>
      <c r="W119" s="10">
        <v>39302000</v>
      </c>
      <c r="X119" s="17">
        <v>40360000</v>
      </c>
      <c r="Y119" s="18">
        <v>35163000</v>
      </c>
      <c r="Z119" s="19">
        <v>0</v>
      </c>
      <c r="AA119" s="19">
        <v>0</v>
      </c>
    </row>
    <row r="120" ht="20.05" customHeight="1" spans="1:27">
      <c r="A120" s="8" t="s">
        <v>136</v>
      </c>
      <c r="B120" s="9">
        <v>611091000</v>
      </c>
      <c r="C120" s="10">
        <v>623994000</v>
      </c>
      <c r="D120" s="10">
        <v>627878000</v>
      </c>
      <c r="E120" s="10">
        <v>790945000</v>
      </c>
      <c r="F120" s="10">
        <v>992904000</v>
      </c>
      <c r="G120" s="10">
        <v>954649000</v>
      </c>
      <c r="H120" s="10">
        <v>908717000</v>
      </c>
      <c r="I120" s="10">
        <v>864593000</v>
      </c>
      <c r="J120" s="10">
        <v>834747000</v>
      </c>
      <c r="K120" s="10">
        <v>808002000</v>
      </c>
      <c r="L120" s="10">
        <v>795900000</v>
      </c>
      <c r="M120" s="10">
        <v>750191000</v>
      </c>
      <c r="N120" s="10">
        <v>729506000</v>
      </c>
      <c r="O120" s="10">
        <v>715664000</v>
      </c>
      <c r="P120" s="10">
        <v>680613000</v>
      </c>
      <c r="Q120" s="10">
        <v>644516000</v>
      </c>
      <c r="R120" s="10">
        <v>627314000</v>
      </c>
      <c r="S120" s="10">
        <v>616508000</v>
      </c>
      <c r="T120" s="10">
        <v>252674000</v>
      </c>
      <c r="U120" s="10">
        <v>226337000</v>
      </c>
      <c r="V120" s="10">
        <v>221411000</v>
      </c>
      <c r="W120" s="10">
        <v>40480000</v>
      </c>
      <c r="X120" s="17">
        <v>39302000</v>
      </c>
      <c r="Y120" s="17">
        <v>40360000</v>
      </c>
      <c r="Z120" s="19">
        <v>0</v>
      </c>
      <c r="AA120" s="19">
        <v>0</v>
      </c>
    </row>
    <row r="121" ht="20.05" customHeight="1" spans="1:27">
      <c r="A121" s="23"/>
      <c r="B121" s="12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25"/>
      <c r="Y121" s="25"/>
      <c r="Z121" s="25"/>
      <c r="AA121" s="25"/>
    </row>
    <row r="122" ht="30.8" customHeight="1" spans="1:27">
      <c r="A122" s="24" t="s">
        <v>137</v>
      </c>
      <c r="B122" s="12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25"/>
      <c r="Y122" s="25"/>
      <c r="Z122" s="25"/>
      <c r="AA122" s="25"/>
    </row>
    <row r="123" ht="20.05" customHeight="1" spans="1:27">
      <c r="A123" s="8" t="s">
        <v>138</v>
      </c>
      <c r="B123" s="9">
        <v>282289000</v>
      </c>
      <c r="C123" s="10">
        <v>246207000</v>
      </c>
      <c r="D123" s="10">
        <v>249356000</v>
      </c>
      <c r="E123" s="10">
        <v>214917000</v>
      </c>
      <c r="F123" s="10">
        <v>212880000</v>
      </c>
      <c r="G123" s="10">
        <v>199906000</v>
      </c>
      <c r="H123" s="10">
        <v>250653000</v>
      </c>
      <c r="I123" s="10">
        <v>206057000</v>
      </c>
      <c r="J123" s="10">
        <v>198535000</v>
      </c>
      <c r="K123" s="10">
        <v>171698000</v>
      </c>
      <c r="L123" s="10">
        <v>202750000</v>
      </c>
      <c r="M123" s="10">
        <v>170832000</v>
      </c>
      <c r="N123" s="10">
        <v>149860000</v>
      </c>
      <c r="O123" s="10">
        <v>130145000</v>
      </c>
      <c r="P123" s="10">
        <v>142923000</v>
      </c>
      <c r="Q123" s="10">
        <v>104469000</v>
      </c>
      <c r="R123" s="10">
        <v>90673000</v>
      </c>
      <c r="S123" s="10">
        <v>74551000</v>
      </c>
      <c r="T123" s="10">
        <v>81459000</v>
      </c>
      <c r="U123" s="10">
        <v>61079000</v>
      </c>
      <c r="V123" s="10">
        <v>49900000</v>
      </c>
      <c r="W123" s="10">
        <v>40000000</v>
      </c>
      <c r="X123" s="17">
        <v>41806000</v>
      </c>
      <c r="Y123" s="17">
        <v>32126000</v>
      </c>
      <c r="Z123" s="17">
        <v>29100000</v>
      </c>
      <c r="AA123" s="21">
        <v>24700000</v>
      </c>
    </row>
    <row r="124" ht="20.05" customHeight="1" spans="1:27">
      <c r="A124" s="8" t="s">
        <v>139</v>
      </c>
      <c r="B124" s="9">
        <v>247064000</v>
      </c>
      <c r="C124" s="10">
        <v>213782000</v>
      </c>
      <c r="D124" s="10">
        <v>219046000</v>
      </c>
      <c r="E124" s="10">
        <v>184988000</v>
      </c>
      <c r="F124" s="10">
        <v>186215000</v>
      </c>
      <c r="G124" s="10">
        <v>173251000</v>
      </c>
      <c r="H124" s="10">
        <v>222950000</v>
      </c>
      <c r="I124" s="10">
        <v>182027000</v>
      </c>
      <c r="J124" s="10">
        <v>173671000</v>
      </c>
      <c r="K124" s="10">
        <v>149205000</v>
      </c>
      <c r="L124" s="10">
        <v>181115000</v>
      </c>
      <c r="M124" s="10">
        <v>150956000</v>
      </c>
      <c r="N124" s="10">
        <v>133107000</v>
      </c>
      <c r="O124" s="10">
        <v>114724000</v>
      </c>
      <c r="P124" s="10">
        <v>131312000</v>
      </c>
      <c r="Q124" s="10">
        <v>94928000</v>
      </c>
      <c r="R124" s="10">
        <v>82033000</v>
      </c>
      <c r="S124" s="10">
        <v>67358000</v>
      </c>
      <c r="T124" s="10">
        <v>75409000</v>
      </c>
      <c r="U124" s="10">
        <v>56501000</v>
      </c>
      <c r="V124" s="10">
        <v>45500000</v>
      </c>
      <c r="W124" s="10">
        <v>36500000</v>
      </c>
      <c r="X124" s="17">
        <v>38423000</v>
      </c>
      <c r="Y124" s="17">
        <v>29317000</v>
      </c>
      <c r="Z124" s="18">
        <v>26600000</v>
      </c>
      <c r="AA124" s="22">
        <v>23000000</v>
      </c>
    </row>
    <row r="125" ht="20.05" customHeight="1" spans="1:27">
      <c r="A125" s="8" t="s">
        <v>140</v>
      </c>
      <c r="B125" s="9">
        <v>35225000</v>
      </c>
      <c r="C125" s="10">
        <v>32425000</v>
      </c>
      <c r="D125" s="10">
        <v>30310000</v>
      </c>
      <c r="E125" s="10">
        <v>29929000</v>
      </c>
      <c r="F125" s="10">
        <v>26665000</v>
      </c>
      <c r="G125" s="10">
        <v>26655000</v>
      </c>
      <c r="H125" s="10">
        <v>27703000</v>
      </c>
      <c r="I125" s="10">
        <v>24030000</v>
      </c>
      <c r="J125" s="10">
        <v>24864000</v>
      </c>
      <c r="K125" s="10">
        <v>22493000</v>
      </c>
      <c r="L125" s="10">
        <v>21635000</v>
      </c>
      <c r="M125" s="10">
        <v>19876000</v>
      </c>
      <c r="N125" s="10">
        <v>16753000</v>
      </c>
      <c r="O125" s="10">
        <v>15421000</v>
      </c>
      <c r="P125" s="10">
        <v>11611000</v>
      </c>
      <c r="Q125" s="10">
        <v>9541000</v>
      </c>
      <c r="R125" s="10">
        <v>8640000</v>
      </c>
      <c r="S125" s="10">
        <v>7193000</v>
      </c>
      <c r="T125" s="10">
        <v>6050000</v>
      </c>
      <c r="U125" s="10">
        <v>4578000</v>
      </c>
      <c r="V125" s="10">
        <v>4346000</v>
      </c>
      <c r="W125" s="10">
        <v>3550000</v>
      </c>
      <c r="X125" s="17">
        <v>3383000</v>
      </c>
      <c r="Y125" s="17">
        <v>2809000</v>
      </c>
      <c r="Z125" s="19">
        <v>0</v>
      </c>
      <c r="AA125" s="19">
        <v>0</v>
      </c>
    </row>
    <row r="126" ht="20.05" customHeight="1" spans="1:27">
      <c r="A126" s="11" t="s">
        <v>60</v>
      </c>
      <c r="B126" s="12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9">
        <v>0</v>
      </c>
      <c r="Y126" s="19">
        <v>0</v>
      </c>
      <c r="Z126" s="19">
        <v>0</v>
      </c>
      <c r="AA126" s="19">
        <v>0</v>
      </c>
    </row>
    <row r="127" ht="20.05" customHeight="1" spans="1:27">
      <c r="A127" s="11" t="s">
        <v>141</v>
      </c>
      <c r="B127" s="12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9">
        <v>0</v>
      </c>
      <c r="Y127" s="19">
        <v>0</v>
      </c>
      <c r="Z127" s="19">
        <v>0</v>
      </c>
      <c r="AA127" s="19">
        <v>0</v>
      </c>
    </row>
    <row r="128" ht="20.05" customHeight="1" spans="1:27">
      <c r="A128" s="11" t="s">
        <v>142</v>
      </c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25"/>
      <c r="Y128" s="25"/>
      <c r="Z128" s="25"/>
      <c r="AA128" s="25"/>
    </row>
    <row r="129" ht="20.05" customHeight="1" spans="1:27">
      <c r="A129" s="11" t="s">
        <v>143</v>
      </c>
      <c r="B129" s="12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9">
        <v>0</v>
      </c>
      <c r="Y129" s="19">
        <v>0</v>
      </c>
      <c r="Z129" s="19">
        <v>0</v>
      </c>
      <c r="AA129" s="19">
        <v>0</v>
      </c>
    </row>
    <row r="130" ht="20.05" customHeight="1" spans="1:27">
      <c r="A130" s="11" t="s">
        <v>144</v>
      </c>
      <c r="B130" s="12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9">
        <v>0</v>
      </c>
      <c r="Y130" s="19">
        <v>0</v>
      </c>
      <c r="Z130" s="19">
        <v>0</v>
      </c>
      <c r="AA130" s="19">
        <v>0</v>
      </c>
    </row>
    <row r="131" ht="20.05" customHeight="1" spans="1:27">
      <c r="A131" s="11" t="s">
        <v>145</v>
      </c>
      <c r="B131" s="12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9">
        <v>0</v>
      </c>
      <c r="Y131" s="19">
        <v>0</v>
      </c>
      <c r="Z131" s="19">
        <v>0</v>
      </c>
      <c r="AA131" s="19">
        <v>0</v>
      </c>
    </row>
    <row r="132" ht="20.05" customHeight="1" spans="1:27">
      <c r="A132" s="11" t="s">
        <v>146</v>
      </c>
      <c r="B132" s="12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9">
        <v>0</v>
      </c>
      <c r="Y132" s="19">
        <v>0</v>
      </c>
      <c r="Z132" s="19">
        <v>0</v>
      </c>
      <c r="AA132" s="19">
        <v>0</v>
      </c>
    </row>
    <row r="133" ht="20.05" customHeight="1" spans="1:27">
      <c r="A133" s="11" t="s">
        <v>147</v>
      </c>
      <c r="B133" s="12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9">
        <v>0</v>
      </c>
      <c r="Y133" s="19">
        <v>0</v>
      </c>
      <c r="Z133" s="19">
        <v>0</v>
      </c>
      <c r="AA133" s="19">
        <v>0</v>
      </c>
    </row>
    <row r="134" ht="20.05" customHeight="1" spans="1:27">
      <c r="A134" s="11" t="s">
        <v>148</v>
      </c>
      <c r="B134" s="12">
        <v>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9">
        <v>0</v>
      </c>
      <c r="Y134" s="19">
        <v>0</v>
      </c>
      <c r="Z134" s="19">
        <v>0</v>
      </c>
      <c r="AA134" s="19">
        <v>0</v>
      </c>
    </row>
    <row r="135" ht="20.05" customHeight="1" spans="1:27">
      <c r="A135" s="8" t="s">
        <v>149</v>
      </c>
      <c r="B135" s="9">
        <v>268029000</v>
      </c>
      <c r="C135" s="10">
        <v>264161000</v>
      </c>
      <c r="D135" s="10">
        <v>262565000</v>
      </c>
      <c r="E135" s="10">
        <v>234033000</v>
      </c>
      <c r="F135" s="10">
        <v>231102000</v>
      </c>
      <c r="G135" s="10">
        <v>226765000</v>
      </c>
      <c r="H135" s="10">
        <v>239896000</v>
      </c>
      <c r="I135" s="10">
        <v>211383000</v>
      </c>
      <c r="J135" s="10">
        <v>220546000</v>
      </c>
      <c r="K135" s="10">
        <v>195589000</v>
      </c>
      <c r="L135" s="10">
        <v>188196000</v>
      </c>
      <c r="M135" s="10">
        <v>164133000</v>
      </c>
      <c r="N135" s="10">
        <v>151068000</v>
      </c>
      <c r="O135" s="10">
        <v>128535000</v>
      </c>
      <c r="P135" s="10">
        <v>115232000</v>
      </c>
      <c r="Q135" s="10">
        <v>98698000</v>
      </c>
      <c r="R135" s="10">
        <v>86125000</v>
      </c>
      <c r="S135" s="10">
        <v>69252000</v>
      </c>
      <c r="T135" s="10">
        <v>66243000</v>
      </c>
      <c r="U135" s="10">
        <v>53972000</v>
      </c>
      <c r="V135" s="10">
        <v>47818000</v>
      </c>
      <c r="W135" s="10">
        <v>42215000</v>
      </c>
      <c r="X135" s="21">
        <v>40749000</v>
      </c>
      <c r="Y135" s="18">
        <v>28331000</v>
      </c>
      <c r="Z135" s="19">
        <v>0</v>
      </c>
      <c r="AA135" s="19">
        <v>0</v>
      </c>
    </row>
    <row r="136" ht="20.05" customHeight="1" spans="1:27">
      <c r="A136" s="11" t="s">
        <v>150</v>
      </c>
      <c r="B136" s="12">
        <v>94033000</v>
      </c>
      <c r="C136" s="13">
        <v>93505000</v>
      </c>
      <c r="D136" s="13">
        <v>84285000</v>
      </c>
      <c r="E136" s="13">
        <v>84494000</v>
      </c>
      <c r="F136" s="13">
        <v>81067000</v>
      </c>
      <c r="G136" s="13">
        <v>84302000</v>
      </c>
      <c r="H136" s="13">
        <v>79002000</v>
      </c>
      <c r="I136" s="13">
        <v>75348000</v>
      </c>
      <c r="J136" s="13">
        <v>77516000</v>
      </c>
      <c r="K136" s="13">
        <v>70893000</v>
      </c>
      <c r="L136" s="13">
        <v>59988000</v>
      </c>
      <c r="M136" s="13">
        <v>54960000</v>
      </c>
      <c r="N136" s="13">
        <v>47333000</v>
      </c>
      <c r="O136" s="13">
        <v>41850000</v>
      </c>
      <c r="P136" s="13">
        <v>33737000</v>
      </c>
      <c r="Q136" s="13">
        <v>29022000</v>
      </c>
      <c r="R136" s="13">
        <v>25990000</v>
      </c>
      <c r="S136" s="13">
        <v>22174000</v>
      </c>
      <c r="T136" s="13">
        <v>18255000</v>
      </c>
      <c r="U136" s="13">
        <v>15438000</v>
      </c>
      <c r="V136" s="13">
        <v>14135000</v>
      </c>
      <c r="W136" s="13">
        <v>12941000</v>
      </c>
      <c r="X136" s="21">
        <v>10359000</v>
      </c>
      <c r="Y136" s="21">
        <v>8488000</v>
      </c>
      <c r="Z136" s="19">
        <v>0</v>
      </c>
      <c r="AA136" s="19">
        <v>0</v>
      </c>
    </row>
    <row r="137" ht="20.05" customHeight="1" spans="1:27">
      <c r="A137" s="11" t="s">
        <v>151</v>
      </c>
      <c r="B137" s="12">
        <v>173996000</v>
      </c>
      <c r="C137" s="13">
        <v>170656000</v>
      </c>
      <c r="D137" s="13">
        <v>178280000</v>
      </c>
      <c r="E137" s="13">
        <v>149539000</v>
      </c>
      <c r="F137" s="13">
        <v>150035000</v>
      </c>
      <c r="G137" s="13">
        <v>142463000</v>
      </c>
      <c r="H137" s="13">
        <v>160894000</v>
      </c>
      <c r="I137" s="13">
        <v>136035000</v>
      </c>
      <c r="J137" s="13">
        <v>143030000</v>
      </c>
      <c r="K137" s="13">
        <v>124696000</v>
      </c>
      <c r="L137" s="13">
        <v>128208000</v>
      </c>
      <c r="M137" s="13">
        <v>109173000</v>
      </c>
      <c r="N137" s="13">
        <v>103735000</v>
      </c>
      <c r="O137" s="13">
        <v>86685000</v>
      </c>
      <c r="P137" s="13">
        <v>81495000</v>
      </c>
      <c r="Q137" s="13">
        <v>69676000</v>
      </c>
      <c r="R137" s="13">
        <v>60135000</v>
      </c>
      <c r="S137" s="13">
        <v>47078000</v>
      </c>
      <c r="T137" s="13">
        <v>47988000</v>
      </c>
      <c r="U137" s="13">
        <v>38534000</v>
      </c>
      <c r="V137" s="13">
        <v>33683000</v>
      </c>
      <c r="W137" s="13">
        <v>29274000</v>
      </c>
      <c r="X137" s="21">
        <v>30390000</v>
      </c>
      <c r="Y137" s="18">
        <v>19843000</v>
      </c>
      <c r="Z137" s="19">
        <v>0</v>
      </c>
      <c r="AA137" s="19">
        <v>0</v>
      </c>
    </row>
    <row r="138" ht="20.05" customHeight="1" spans="1:27">
      <c r="A138" s="11" t="s">
        <v>152</v>
      </c>
      <c r="B138" s="12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9">
        <v>0</v>
      </c>
      <c r="Y138" s="19">
        <v>0</v>
      </c>
      <c r="Z138" s="19">
        <v>0</v>
      </c>
      <c r="AA138" s="19">
        <v>0</v>
      </c>
    </row>
    <row r="139" ht="20.05" customHeight="1" spans="1:27">
      <c r="A139" s="11" t="s">
        <v>153</v>
      </c>
      <c r="B139" s="12">
        <v>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>
        <v>0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9">
        <v>0</v>
      </c>
      <c r="Y139" s="19">
        <v>0</v>
      </c>
      <c r="Z139" s="19">
        <v>0</v>
      </c>
      <c r="AA139" s="19">
        <v>0</v>
      </c>
    </row>
    <row r="140" ht="20.05" customHeight="1" spans="1:27">
      <c r="A140" s="11" t="s">
        <v>154</v>
      </c>
      <c r="B140" s="12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9">
        <v>0</v>
      </c>
      <c r="Y140" s="19">
        <v>0</v>
      </c>
      <c r="Z140" s="19">
        <v>0</v>
      </c>
      <c r="AA140" s="19">
        <v>0</v>
      </c>
    </row>
    <row r="141" ht="20.05" customHeight="1" spans="1:27">
      <c r="A141" s="11" t="s">
        <v>155</v>
      </c>
      <c r="B141" s="12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9">
        <v>0</v>
      </c>
      <c r="Y141" s="19">
        <v>0</v>
      </c>
      <c r="Z141" s="19">
        <v>0</v>
      </c>
      <c r="AA141" s="19">
        <v>0</v>
      </c>
    </row>
    <row r="142" ht="20.05" customHeight="1" spans="1:27">
      <c r="A142" s="11" t="s">
        <v>156</v>
      </c>
      <c r="B142" s="12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9">
        <v>0</v>
      </c>
      <c r="Y142" s="19">
        <v>0</v>
      </c>
      <c r="Z142" s="19">
        <v>0</v>
      </c>
      <c r="AA142" s="19">
        <v>0</v>
      </c>
    </row>
    <row r="143" ht="20.05" customHeight="1" spans="1:27">
      <c r="A143" s="11" t="s">
        <v>157</v>
      </c>
      <c r="B143" s="12">
        <v>0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9">
        <v>0</v>
      </c>
      <c r="Y143" s="19">
        <v>0</v>
      </c>
      <c r="Z143" s="19">
        <v>0</v>
      </c>
      <c r="AA143" s="19">
        <v>0</v>
      </c>
    </row>
    <row r="144" ht="20.05" customHeight="1" spans="1:27">
      <c r="A144" s="11" t="s">
        <v>158</v>
      </c>
      <c r="B144" s="12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9">
        <v>0</v>
      </c>
      <c r="Y144" s="19">
        <v>0</v>
      </c>
      <c r="Z144" s="19">
        <v>0</v>
      </c>
      <c r="AA144" s="19">
        <v>0</v>
      </c>
    </row>
    <row r="145" ht="20.05" customHeight="1" spans="1:27">
      <c r="A145" s="8" t="s">
        <v>159</v>
      </c>
      <c r="B145" s="9">
        <v>-20965000</v>
      </c>
      <c r="C145" s="10">
        <v>-50379000</v>
      </c>
      <c r="D145" s="10">
        <v>-43519000</v>
      </c>
      <c r="E145" s="10">
        <v>-49045000</v>
      </c>
      <c r="F145" s="10">
        <v>-44887000</v>
      </c>
      <c r="G145" s="10">
        <v>-53514000</v>
      </c>
      <c r="H145" s="10">
        <v>-16946000</v>
      </c>
      <c r="I145" s="10">
        <v>-29356000</v>
      </c>
      <c r="J145" s="10">
        <v>-46875000</v>
      </c>
      <c r="K145" s="10">
        <v>-46384000</v>
      </c>
      <c r="L145" s="10">
        <v>-7081000</v>
      </c>
      <c r="M145" s="10">
        <v>-13177000</v>
      </c>
      <c r="N145" s="10">
        <v>-17961000</v>
      </c>
      <c r="O145" s="10">
        <v>-13811000</v>
      </c>
      <c r="P145" s="10">
        <v>16080000</v>
      </c>
      <c r="Q145" s="10">
        <v>-3770000</v>
      </c>
      <c r="R145" s="10">
        <v>-4092000</v>
      </c>
      <c r="S145" s="10">
        <v>-1894000</v>
      </c>
      <c r="T145" s="10">
        <v>9166000</v>
      </c>
      <c r="U145" s="10">
        <v>2529000</v>
      </c>
      <c r="V145" s="10">
        <v>-2280000</v>
      </c>
      <c r="W145" s="10">
        <v>-5747000</v>
      </c>
      <c r="X145" s="18">
        <v>-2326000</v>
      </c>
      <c r="Y145" s="17">
        <v>986000</v>
      </c>
      <c r="Z145" s="19">
        <v>0</v>
      </c>
      <c r="AA145" s="19">
        <v>0</v>
      </c>
    </row>
    <row r="146" ht="20.05" customHeight="1" spans="1:27">
      <c r="A146" s="11" t="s">
        <v>160</v>
      </c>
      <c r="B146" s="12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9">
        <v>0</v>
      </c>
      <c r="Y146" s="19">
        <v>0</v>
      </c>
      <c r="Z146" s="19">
        <v>0</v>
      </c>
      <c r="AA146" s="19">
        <v>0</v>
      </c>
    </row>
    <row r="147" ht="20.05" customHeight="1" spans="1:27">
      <c r="A147" s="11" t="s">
        <v>161</v>
      </c>
      <c r="B147" s="12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9">
        <v>0</v>
      </c>
      <c r="Y147" s="19">
        <v>0</v>
      </c>
      <c r="Z147" s="19">
        <v>0</v>
      </c>
      <c r="AA147" s="19">
        <v>0</v>
      </c>
    </row>
    <row r="148" ht="20.05" customHeight="1" spans="1:27">
      <c r="A148" s="11" t="s">
        <v>162</v>
      </c>
      <c r="B148" s="12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9">
        <v>0</v>
      </c>
      <c r="Y148" s="19">
        <v>0</v>
      </c>
      <c r="Z148" s="19">
        <v>0</v>
      </c>
      <c r="AA148" s="19">
        <v>0</v>
      </c>
    </row>
    <row r="149" ht="20.05" customHeight="1" spans="1:27">
      <c r="A149" s="11" t="s">
        <v>163</v>
      </c>
      <c r="B149" s="12">
        <v>6866000</v>
      </c>
      <c r="C149" s="13">
        <v>1462000</v>
      </c>
      <c r="D149" s="13">
        <v>3335000</v>
      </c>
      <c r="E149" s="13">
        <v>3677000</v>
      </c>
      <c r="F149" s="13">
        <v>4029000</v>
      </c>
      <c r="G149" s="13">
        <v>1225000</v>
      </c>
      <c r="H149" s="13">
        <v>-1362000</v>
      </c>
      <c r="I149" s="13">
        <v>814000</v>
      </c>
      <c r="J149" s="13">
        <v>1019000</v>
      </c>
      <c r="K149" s="13">
        <v>1663000</v>
      </c>
      <c r="L149" s="13">
        <v>-181000</v>
      </c>
      <c r="M149" s="13">
        <v>217000</v>
      </c>
      <c r="N149" s="13">
        <v>-623000</v>
      </c>
      <c r="O149" s="13">
        <v>1810000</v>
      </c>
      <c r="P149" s="13">
        <v>1021000</v>
      </c>
      <c r="Q149" s="13">
        <v>353000</v>
      </c>
      <c r="R149" s="13">
        <v>-309000</v>
      </c>
      <c r="S149" s="13">
        <v>-207000</v>
      </c>
      <c r="T149" s="13">
        <v>-454000</v>
      </c>
      <c r="U149" s="13">
        <v>-177000</v>
      </c>
      <c r="V149" s="13">
        <v>-119000</v>
      </c>
      <c r="W149" s="13">
        <v>-53000</v>
      </c>
      <c r="X149" s="21">
        <v>-5000</v>
      </c>
      <c r="Y149" s="22">
        <v>-22000</v>
      </c>
      <c r="Z149" s="19">
        <v>0</v>
      </c>
      <c r="AA149" s="19">
        <v>0</v>
      </c>
    </row>
    <row r="150" ht="20.05" customHeight="1" spans="1:27">
      <c r="A150" s="11" t="s">
        <v>164</v>
      </c>
      <c r="B150" s="12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9">
        <v>0</v>
      </c>
      <c r="Y150" s="19">
        <v>0</v>
      </c>
      <c r="Z150" s="19">
        <v>0</v>
      </c>
      <c r="AA150" s="19">
        <v>0</v>
      </c>
    </row>
    <row r="151" ht="20.05" customHeight="1" spans="1:27">
      <c r="A151" s="11" t="s">
        <v>165</v>
      </c>
      <c r="B151" s="12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9">
        <v>0</v>
      </c>
      <c r="Y151" s="19">
        <v>0</v>
      </c>
      <c r="Z151" s="19">
        <v>0</v>
      </c>
      <c r="AA151" s="19">
        <v>0</v>
      </c>
    </row>
    <row r="152" ht="20.05" customHeight="1" spans="1:27">
      <c r="A152" s="11" t="s">
        <v>166</v>
      </c>
      <c r="B152" s="12">
        <v>-14099000</v>
      </c>
      <c r="C152" s="13">
        <v>-48917000</v>
      </c>
      <c r="D152" s="13">
        <v>-40184000</v>
      </c>
      <c r="E152" s="13">
        <v>-45368000</v>
      </c>
      <c r="F152" s="13">
        <v>-40858000</v>
      </c>
      <c r="G152" s="13">
        <v>-52289000</v>
      </c>
      <c r="H152" s="13">
        <v>-18308000</v>
      </c>
      <c r="I152" s="13">
        <v>-28542000</v>
      </c>
      <c r="J152" s="13">
        <v>-45856000</v>
      </c>
      <c r="K152" s="13">
        <v>-44721000</v>
      </c>
      <c r="L152" s="13">
        <v>-7262000</v>
      </c>
      <c r="M152" s="13">
        <v>-12960000</v>
      </c>
      <c r="N152" s="13">
        <v>-18584000</v>
      </c>
      <c r="O152" s="13">
        <v>-12001000</v>
      </c>
      <c r="P152" s="13">
        <v>17101000</v>
      </c>
      <c r="Q152" s="13">
        <v>-3417000</v>
      </c>
      <c r="R152" s="13">
        <v>-4401000</v>
      </c>
      <c r="S152" s="13">
        <v>-2101000</v>
      </c>
      <c r="T152" s="13">
        <v>8712000</v>
      </c>
      <c r="U152" s="13">
        <v>2352000</v>
      </c>
      <c r="V152" s="13">
        <v>-2399000</v>
      </c>
      <c r="W152" s="13">
        <v>-5800000</v>
      </c>
      <c r="X152" s="17">
        <v>-2331000</v>
      </c>
      <c r="Y152" s="17">
        <v>964000</v>
      </c>
      <c r="Z152" s="19">
        <v>0</v>
      </c>
      <c r="AA152" s="19">
        <v>0</v>
      </c>
    </row>
    <row r="153" ht="20.05" customHeight="1" spans="1:27">
      <c r="A153" s="11" t="s">
        <v>167</v>
      </c>
      <c r="B153" s="12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9">
        <v>0</v>
      </c>
      <c r="Y153" s="19">
        <v>0</v>
      </c>
      <c r="Z153" s="19">
        <v>0</v>
      </c>
      <c r="AA153" s="19">
        <v>0</v>
      </c>
    </row>
    <row r="154" ht="20.05" customHeight="1" spans="1:27">
      <c r="A154" s="11" t="s">
        <v>168</v>
      </c>
      <c r="B154" s="12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9">
        <v>0</v>
      </c>
      <c r="Y154" s="19">
        <v>0</v>
      </c>
      <c r="Z154" s="19">
        <v>0</v>
      </c>
      <c r="AA154" s="19">
        <v>0</v>
      </c>
    </row>
    <row r="155" ht="20.05" customHeight="1" spans="1:27">
      <c r="A155" s="11" t="s">
        <v>169</v>
      </c>
      <c r="B155" s="12">
        <v>-2033000</v>
      </c>
      <c r="C155" s="13">
        <v>-2445000</v>
      </c>
      <c r="D155" s="13">
        <v>1654000</v>
      </c>
      <c r="E155" s="13">
        <v>1185000</v>
      </c>
      <c r="F155" s="13">
        <v>1664000</v>
      </c>
      <c r="G155" s="13">
        <v>2358000</v>
      </c>
      <c r="H155" s="13">
        <v>2780000</v>
      </c>
      <c r="I155" s="13">
        <v>1719000</v>
      </c>
      <c r="J155" s="13">
        <v>1666000</v>
      </c>
      <c r="K155" s="13">
        <v>857000</v>
      </c>
      <c r="L155" s="13">
        <v>34059000</v>
      </c>
      <c r="M155" s="13">
        <v>413000</v>
      </c>
      <c r="N155" s="13">
        <v>395000</v>
      </c>
      <c r="O155" s="13">
        <v>-1974000</v>
      </c>
      <c r="P155" s="13">
        <v>-3606000</v>
      </c>
      <c r="Q155" s="13">
        <v>1214000</v>
      </c>
      <c r="R155" s="13">
        <v>173000</v>
      </c>
      <c r="S155" s="13">
        <v>3528000</v>
      </c>
      <c r="T155" s="13">
        <v>-2533000</v>
      </c>
      <c r="U155" s="13">
        <v>-89000</v>
      </c>
      <c r="V155" s="13">
        <v>176000</v>
      </c>
      <c r="W155" s="13">
        <v>-1765000</v>
      </c>
      <c r="X155" s="18">
        <v>-1275000</v>
      </c>
      <c r="Y155" s="21">
        <v>597000</v>
      </c>
      <c r="Z155" s="19">
        <v>0</v>
      </c>
      <c r="AA155" s="19">
        <v>0</v>
      </c>
    </row>
    <row r="156" ht="20.05" customHeight="1" spans="1:27">
      <c r="A156" s="11" t="s">
        <v>170</v>
      </c>
      <c r="B156" s="12">
        <v>-12066000</v>
      </c>
      <c r="C156" s="13">
        <v>-46472000</v>
      </c>
      <c r="D156" s="13">
        <v>-41838000</v>
      </c>
      <c r="E156" s="13">
        <v>-46553000</v>
      </c>
      <c r="F156" s="13">
        <v>-42522000</v>
      </c>
      <c r="G156" s="13">
        <v>-54647000</v>
      </c>
      <c r="H156" s="13">
        <v>-21088000</v>
      </c>
      <c r="I156" s="13">
        <v>-30261000</v>
      </c>
      <c r="J156" s="13">
        <v>-47522000</v>
      </c>
      <c r="K156" s="13">
        <v>-45578000</v>
      </c>
      <c r="L156" s="13">
        <v>-41321000</v>
      </c>
      <c r="M156" s="13">
        <v>-13373000</v>
      </c>
      <c r="N156" s="13">
        <v>-18979000</v>
      </c>
      <c r="O156" s="13">
        <v>-10027000</v>
      </c>
      <c r="P156" s="13">
        <v>20707000</v>
      </c>
      <c r="Q156" s="13">
        <v>-4631000</v>
      </c>
      <c r="R156" s="13">
        <v>-4574000</v>
      </c>
      <c r="S156" s="13">
        <v>-5629000</v>
      </c>
      <c r="T156" s="13">
        <v>11245000</v>
      </c>
      <c r="U156" s="13">
        <v>2441000</v>
      </c>
      <c r="V156" s="13">
        <v>-2575000</v>
      </c>
      <c r="W156" s="13">
        <v>-4035000</v>
      </c>
      <c r="X156" s="17">
        <v>-1056000</v>
      </c>
      <c r="Y156" s="18">
        <v>367000</v>
      </c>
      <c r="Z156" s="19">
        <v>0</v>
      </c>
      <c r="AA156" s="19">
        <v>0</v>
      </c>
    </row>
    <row r="157" ht="20.05" customHeight="1" spans="1:27">
      <c r="A157" s="11" t="s">
        <v>171</v>
      </c>
      <c r="B157" s="12">
        <v>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9">
        <v>0</v>
      </c>
      <c r="Y157" s="19">
        <v>0</v>
      </c>
      <c r="Z157" s="19">
        <v>0</v>
      </c>
      <c r="AA157" s="19">
        <v>0</v>
      </c>
    </row>
    <row r="158" ht="20.05" customHeight="1" spans="1:27">
      <c r="A158" s="8" t="s">
        <v>95</v>
      </c>
      <c r="B158" s="9">
        <v>-12066000</v>
      </c>
      <c r="C158" s="10">
        <v>-46472000</v>
      </c>
      <c r="D158" s="10">
        <v>-41838000</v>
      </c>
      <c r="E158" s="10">
        <v>-46553000</v>
      </c>
      <c r="F158" s="10">
        <v>-42522000</v>
      </c>
      <c r="G158" s="10">
        <v>-54647000</v>
      </c>
      <c r="H158" s="10">
        <v>-21088000</v>
      </c>
      <c r="I158" s="10">
        <v>-30261000</v>
      </c>
      <c r="J158" s="10">
        <v>-47522000</v>
      </c>
      <c r="K158" s="10">
        <v>-45578000</v>
      </c>
      <c r="L158" s="10">
        <v>-41321000</v>
      </c>
      <c r="M158" s="10">
        <v>-13373000</v>
      </c>
      <c r="N158" s="10">
        <v>-18979000</v>
      </c>
      <c r="O158" s="10">
        <v>-10027000</v>
      </c>
      <c r="P158" s="10">
        <v>20707000</v>
      </c>
      <c r="Q158" s="10">
        <v>-4631000</v>
      </c>
      <c r="R158" s="10">
        <v>-4574000</v>
      </c>
      <c r="S158" s="10">
        <v>-5629000</v>
      </c>
      <c r="T158" s="10">
        <v>11245000</v>
      </c>
      <c r="U158" s="10">
        <v>2441000</v>
      </c>
      <c r="V158" s="10">
        <v>-6600000</v>
      </c>
      <c r="W158" s="10">
        <v>-12000000</v>
      </c>
      <c r="X158" s="18">
        <v>-1056000</v>
      </c>
      <c r="Y158" s="18">
        <v>367000</v>
      </c>
      <c r="Z158" s="17">
        <v>1100000</v>
      </c>
      <c r="AA158" s="22">
        <v>1100000</v>
      </c>
    </row>
    <row r="159" ht="20.05" customHeight="1" spans="1:27">
      <c r="A159" s="8" t="s">
        <v>172</v>
      </c>
      <c r="B159" s="9">
        <v>-12066000</v>
      </c>
      <c r="C159" s="10">
        <v>-46472000</v>
      </c>
      <c r="D159" s="10">
        <v>-41838000</v>
      </c>
      <c r="E159" s="10">
        <v>-46553000</v>
      </c>
      <c r="F159" s="10">
        <v>-42522000</v>
      </c>
      <c r="G159" s="10">
        <v>-54647000</v>
      </c>
      <c r="H159" s="10">
        <v>-21088000</v>
      </c>
      <c r="I159" s="10">
        <v>-30261000</v>
      </c>
      <c r="J159" s="10">
        <v>-47522000</v>
      </c>
      <c r="K159" s="10">
        <v>-45578000</v>
      </c>
      <c r="L159" s="10">
        <v>-41321000</v>
      </c>
      <c r="M159" s="10">
        <v>-13373000</v>
      </c>
      <c r="N159" s="10">
        <v>-18979000</v>
      </c>
      <c r="O159" s="10">
        <v>-10027000</v>
      </c>
      <c r="P159" s="10">
        <v>20707000</v>
      </c>
      <c r="Q159" s="10">
        <v>-4631000</v>
      </c>
      <c r="R159" s="10">
        <v>-4574000</v>
      </c>
      <c r="S159" s="10">
        <v>-5629000</v>
      </c>
      <c r="T159" s="10">
        <v>11245000</v>
      </c>
      <c r="U159" s="10">
        <v>2441000</v>
      </c>
      <c r="V159" s="10">
        <v>-2575000</v>
      </c>
      <c r="W159" s="10">
        <v>-4035000</v>
      </c>
      <c r="X159" s="17">
        <v>-1056000</v>
      </c>
      <c r="Y159" s="18">
        <v>367000</v>
      </c>
      <c r="Z159" s="19">
        <v>0</v>
      </c>
      <c r="AA159" s="19">
        <v>0</v>
      </c>
    </row>
    <row r="160" ht="20.05" customHeight="1" spans="1:27">
      <c r="A160" s="8" t="s">
        <v>173</v>
      </c>
      <c r="B160" s="9">
        <v>-0.15</v>
      </c>
      <c r="C160" s="10">
        <v>-0.57</v>
      </c>
      <c r="D160" s="10">
        <v>-0.52</v>
      </c>
      <c r="E160" s="10">
        <v>-0.59</v>
      </c>
      <c r="F160" s="10">
        <v>-0.54</v>
      </c>
      <c r="G160" s="10">
        <v>-0.71</v>
      </c>
      <c r="H160" s="10">
        <v>-0.27</v>
      </c>
      <c r="I160" s="10">
        <v>-0.4</v>
      </c>
      <c r="J160" s="10">
        <v>-0.64</v>
      </c>
      <c r="K160" s="10">
        <v>-0.62</v>
      </c>
      <c r="L160" s="10">
        <v>-0.58</v>
      </c>
      <c r="M160" s="10">
        <v>-0.19</v>
      </c>
      <c r="N160" s="10">
        <v>-0.27</v>
      </c>
      <c r="O160" s="10">
        <v>-0.14</v>
      </c>
      <c r="P160" s="10">
        <v>0.3</v>
      </c>
      <c r="Q160" s="10">
        <v>-0.07</v>
      </c>
      <c r="R160" s="10">
        <v>-0.07</v>
      </c>
      <c r="S160" s="10">
        <v>-0.09</v>
      </c>
      <c r="T160" s="10">
        <v>0.18</v>
      </c>
      <c r="U160" s="10">
        <v>0.04</v>
      </c>
      <c r="V160" s="10">
        <v>-0.05</v>
      </c>
      <c r="W160" s="10">
        <v>-0.08</v>
      </c>
      <c r="X160" s="27">
        <v>-0.01</v>
      </c>
      <c r="Y160" s="27">
        <v>0</v>
      </c>
      <c r="Z160" s="19">
        <v>0</v>
      </c>
      <c r="AA160" s="19">
        <v>0</v>
      </c>
    </row>
    <row r="161" ht="20.05" customHeight="1" spans="1:27">
      <c r="A161" s="8" t="s">
        <v>174</v>
      </c>
      <c r="B161" s="9">
        <v>-0.15</v>
      </c>
      <c r="C161" s="10">
        <v>-0.57</v>
      </c>
      <c r="D161" s="10">
        <v>-0.52</v>
      </c>
      <c r="E161" s="10">
        <v>-0.59</v>
      </c>
      <c r="F161" s="10">
        <v>-0.54</v>
      </c>
      <c r="G161" s="10">
        <v>-0.71</v>
      </c>
      <c r="H161" s="10">
        <v>-0.27</v>
      </c>
      <c r="I161" s="10">
        <v>-0.4</v>
      </c>
      <c r="J161" s="10">
        <v>-0.64</v>
      </c>
      <c r="K161" s="10">
        <v>-0.62</v>
      </c>
      <c r="L161" s="10">
        <v>-0.58</v>
      </c>
      <c r="M161" s="10">
        <v>-0.19</v>
      </c>
      <c r="N161" s="10">
        <v>-0.27</v>
      </c>
      <c r="O161" s="10">
        <v>-0.14</v>
      </c>
      <c r="P161" s="10">
        <v>0.21</v>
      </c>
      <c r="Q161" s="10">
        <v>-0.07</v>
      </c>
      <c r="R161" s="10">
        <v>-0.07</v>
      </c>
      <c r="S161" s="10">
        <v>-0.09</v>
      </c>
      <c r="T161" s="10">
        <v>0.12</v>
      </c>
      <c r="U161" s="10">
        <v>0.03</v>
      </c>
      <c r="V161" s="10">
        <v>-0.05</v>
      </c>
      <c r="W161" s="10">
        <v>-0.08</v>
      </c>
      <c r="X161" s="27">
        <v>-0.01</v>
      </c>
      <c r="Y161" s="27">
        <v>0</v>
      </c>
      <c r="Z161" s="27">
        <v>0</v>
      </c>
      <c r="AA161" s="27">
        <v>0.01</v>
      </c>
    </row>
    <row r="162" ht="20.05" customHeight="1" spans="1:27">
      <c r="A162" s="11" t="s">
        <v>175</v>
      </c>
      <c r="B162" s="12">
        <v>82247000</v>
      </c>
      <c r="C162" s="13">
        <v>81039000</v>
      </c>
      <c r="D162" s="13">
        <v>80087000</v>
      </c>
      <c r="E162" s="13">
        <v>79440000</v>
      </c>
      <c r="F162" s="13">
        <v>78511000</v>
      </c>
      <c r="G162" s="13">
        <v>77416000</v>
      </c>
      <c r="H162" s="13">
        <v>76419000</v>
      </c>
      <c r="I162" s="13">
        <v>75647000</v>
      </c>
      <c r="J162" s="13">
        <v>74756000</v>
      </c>
      <c r="K162" s="13">
        <v>73816000</v>
      </c>
      <c r="L162" s="13">
        <v>72781000</v>
      </c>
      <c r="M162" s="13">
        <v>72089000</v>
      </c>
      <c r="N162" s="13">
        <v>71426000</v>
      </c>
      <c r="O162" s="13">
        <v>70490000</v>
      </c>
      <c r="P162" s="13">
        <v>69595000</v>
      </c>
      <c r="Q162" s="13">
        <v>68966000</v>
      </c>
      <c r="R162" s="13">
        <v>68292000</v>
      </c>
      <c r="S162" s="13">
        <v>63444000</v>
      </c>
      <c r="T162" s="13">
        <v>60977000</v>
      </c>
      <c r="U162" s="13">
        <v>59143000</v>
      </c>
      <c r="V162" s="13">
        <v>46893000</v>
      </c>
      <c r="W162" s="13">
        <v>52249000</v>
      </c>
      <c r="X162" s="16">
        <v>103612000</v>
      </c>
      <c r="Y162" s="16">
        <v>33851000</v>
      </c>
      <c r="Z162" s="19">
        <v>0</v>
      </c>
      <c r="AA162" s="19">
        <v>0</v>
      </c>
    </row>
    <row r="163" ht="20.05" customHeight="1" spans="1:27">
      <c r="A163" s="11" t="s">
        <v>176</v>
      </c>
      <c r="B163" s="12">
        <v>82247000</v>
      </c>
      <c r="C163" s="13">
        <v>81039000</v>
      </c>
      <c r="D163" s="13">
        <v>80087000</v>
      </c>
      <c r="E163" s="13">
        <v>79440000</v>
      </c>
      <c r="F163" s="13">
        <v>78511000</v>
      </c>
      <c r="G163" s="13">
        <v>77416000</v>
      </c>
      <c r="H163" s="13">
        <v>76419000</v>
      </c>
      <c r="I163" s="13">
        <v>75647000</v>
      </c>
      <c r="J163" s="13">
        <v>74756000</v>
      </c>
      <c r="K163" s="13">
        <v>73816000</v>
      </c>
      <c r="L163" s="13">
        <v>72781000</v>
      </c>
      <c r="M163" s="13">
        <v>72089000</v>
      </c>
      <c r="N163" s="13">
        <v>71426000</v>
      </c>
      <c r="O163" s="13">
        <v>70490000</v>
      </c>
      <c r="P163" s="13">
        <v>96507000</v>
      </c>
      <c r="Q163" s="13">
        <v>68966000</v>
      </c>
      <c r="R163" s="13">
        <v>68292000</v>
      </c>
      <c r="S163" s="13">
        <v>63444000</v>
      </c>
      <c r="T163" s="13">
        <v>95089000</v>
      </c>
      <c r="U163" s="13">
        <v>71348000</v>
      </c>
      <c r="V163" s="13">
        <v>46893000</v>
      </c>
      <c r="W163" s="13">
        <v>52249000</v>
      </c>
      <c r="X163" s="16">
        <v>109481000</v>
      </c>
      <c r="Y163" s="18">
        <v>39960000</v>
      </c>
      <c r="Z163" s="19">
        <v>0</v>
      </c>
      <c r="AA163" s="19">
        <v>0</v>
      </c>
    </row>
    <row r="164" ht="20.05" customHeight="1" spans="1:27">
      <c r="A164" s="11" t="s">
        <v>177</v>
      </c>
      <c r="B164" s="12">
        <v>-11562000</v>
      </c>
      <c r="C164" s="13">
        <v>-40732000</v>
      </c>
      <c r="D164" s="13">
        <v>-32947000</v>
      </c>
      <c r="E164" s="13">
        <v>-38708000</v>
      </c>
      <c r="F164" s="13">
        <v>-34485000</v>
      </c>
      <c r="G164" s="13">
        <v>-40079000</v>
      </c>
      <c r="H164" s="13">
        <v>969000</v>
      </c>
      <c r="I164" s="13">
        <v>-20266000</v>
      </c>
      <c r="J164" s="13">
        <v>-38481000</v>
      </c>
      <c r="K164" s="13">
        <v>-38777000</v>
      </c>
      <c r="L164" s="13">
        <v>365000</v>
      </c>
      <c r="M164" s="13">
        <v>-7102000</v>
      </c>
      <c r="N164" s="13">
        <v>-12614000</v>
      </c>
      <c r="O164" s="13">
        <v>-9012000</v>
      </c>
      <c r="P164" s="13">
        <v>20119000</v>
      </c>
      <c r="Q164" s="13">
        <v>161000</v>
      </c>
      <c r="R164" s="13">
        <v>-1070000</v>
      </c>
      <c r="S164" s="13">
        <v>626000</v>
      </c>
      <c r="T164" s="13">
        <v>11436000</v>
      </c>
      <c r="U164" s="13">
        <v>4371000</v>
      </c>
      <c r="V164" s="13">
        <v>-884000</v>
      </c>
      <c r="W164" s="13">
        <v>-4405000</v>
      </c>
      <c r="X164" s="17">
        <v>-1136000</v>
      </c>
      <c r="Y164" s="17">
        <v>986000</v>
      </c>
      <c r="Z164" s="19">
        <v>0</v>
      </c>
      <c r="AA164" s="19">
        <v>0</v>
      </c>
    </row>
  </sheetData>
  <mergeCells count="1">
    <mergeCell ref="A1:AA1"/>
  </mergeCells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2018-09-17T11:01:51Z</dcterms:created>
  <dcterms:modified xsi:type="dcterms:W3CDTF">2018-09-18T08:34:34Z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2052-1.2.3.321</vt:lpwstr>
  </property>
</Properties>
</file>